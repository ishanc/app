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anchoudhary/Documents/lasVegas/app/"/>
    </mc:Choice>
  </mc:AlternateContent>
  <xr:revisionPtr revIDLastSave="0" documentId="13_ncr:1_{C6E98382-2187-3142-AAFD-EAD497DC2D2B}" xr6:coauthVersionLast="47" xr6:coauthVersionMax="47" xr10:uidLastSave="{00000000-0000-0000-0000-000000000000}"/>
  <bookViews>
    <workbookView xWindow="0" yWindow="760" windowWidth="29400" windowHeight="17180" xr2:uid="{52F2E630-ACDB-324B-BFF7-71AAFF766CFC}"/>
  </bookViews>
  <sheets>
    <sheet name="Sheet1" sheetId="1" r:id="rId1"/>
    <sheet name="Sheet2" sheetId="3" r:id="rId2"/>
    <sheet name="mapping" sheetId="2" r:id="rId3"/>
  </sheets>
  <externalReferences>
    <externalReference r:id="rId4"/>
  </externalReferences>
  <definedNames>
    <definedName name="_xlnm._FilterDatabase" localSheetId="0" hidden="1">Sheet1!$A$1:$P$523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2" i="1"/>
  <c r="N523" i="1"/>
  <c r="P523" i="1" s="1"/>
  <c r="N522" i="1"/>
  <c r="P522" i="1" s="1"/>
  <c r="N521" i="1"/>
  <c r="P521" i="1" s="1"/>
  <c r="N520" i="1"/>
  <c r="P520" i="1" s="1"/>
  <c r="N519" i="1"/>
  <c r="P519" i="1" s="1"/>
  <c r="N518" i="1"/>
  <c r="P518" i="1" s="1"/>
  <c r="N517" i="1"/>
  <c r="P517" i="1" s="1"/>
  <c r="N516" i="1"/>
  <c r="P516" i="1" s="1"/>
  <c r="N515" i="1"/>
  <c r="P515" i="1" s="1"/>
  <c r="N514" i="1"/>
  <c r="P514" i="1" s="1"/>
  <c r="N513" i="1"/>
  <c r="P513" i="1" s="1"/>
  <c r="N512" i="1"/>
  <c r="P512" i="1" s="1"/>
  <c r="N511" i="1"/>
  <c r="P511" i="1" s="1"/>
  <c r="N510" i="1"/>
  <c r="P510" i="1" s="1"/>
  <c r="N509" i="1"/>
  <c r="P509" i="1" s="1"/>
  <c r="N508" i="1"/>
  <c r="P508" i="1" s="1"/>
  <c r="N507" i="1"/>
  <c r="P507" i="1" s="1"/>
  <c r="N506" i="1"/>
  <c r="P506" i="1" s="1"/>
  <c r="N505" i="1"/>
  <c r="P505" i="1" s="1"/>
  <c r="N504" i="1"/>
  <c r="P504" i="1" s="1"/>
  <c r="N503" i="1"/>
  <c r="P503" i="1" s="1"/>
  <c r="N502" i="1"/>
  <c r="P502" i="1" s="1"/>
  <c r="N501" i="1"/>
  <c r="P501" i="1" s="1"/>
  <c r="N500" i="1"/>
  <c r="P500" i="1" s="1"/>
  <c r="N499" i="1"/>
  <c r="P499" i="1" s="1"/>
  <c r="N498" i="1"/>
  <c r="P498" i="1" s="1"/>
  <c r="N497" i="1"/>
  <c r="P497" i="1" s="1"/>
  <c r="N496" i="1"/>
  <c r="P496" i="1" s="1"/>
  <c r="N495" i="1"/>
  <c r="P495" i="1" s="1"/>
  <c r="N494" i="1"/>
  <c r="P494" i="1" s="1"/>
  <c r="N493" i="1"/>
  <c r="P493" i="1" s="1"/>
  <c r="N492" i="1"/>
  <c r="P492" i="1" s="1"/>
  <c r="N491" i="1"/>
  <c r="P491" i="1" s="1"/>
  <c r="N490" i="1"/>
  <c r="P490" i="1" s="1"/>
  <c r="N489" i="1"/>
  <c r="P489" i="1" s="1"/>
  <c r="N488" i="1"/>
  <c r="P488" i="1" s="1"/>
  <c r="N487" i="1"/>
  <c r="P487" i="1" s="1"/>
  <c r="N486" i="1"/>
  <c r="P486" i="1" s="1"/>
  <c r="N485" i="1"/>
  <c r="P485" i="1" s="1"/>
  <c r="N484" i="1"/>
  <c r="P484" i="1" s="1"/>
  <c r="N483" i="1"/>
  <c r="P483" i="1" s="1"/>
  <c r="N482" i="1"/>
  <c r="P482" i="1" s="1"/>
  <c r="N481" i="1"/>
  <c r="P481" i="1" s="1"/>
  <c r="N480" i="1"/>
  <c r="P480" i="1" s="1"/>
  <c r="N479" i="1"/>
  <c r="P479" i="1" s="1"/>
  <c r="N478" i="1"/>
  <c r="P478" i="1" s="1"/>
  <c r="N477" i="1"/>
  <c r="P477" i="1" s="1"/>
  <c r="N476" i="1"/>
  <c r="P476" i="1" s="1"/>
  <c r="N475" i="1"/>
  <c r="P475" i="1" s="1"/>
  <c r="N474" i="1"/>
  <c r="P474" i="1" s="1"/>
  <c r="N473" i="1"/>
  <c r="P473" i="1" s="1"/>
  <c r="N472" i="1"/>
  <c r="P472" i="1" s="1"/>
  <c r="N471" i="1"/>
  <c r="P471" i="1" s="1"/>
  <c r="N470" i="1"/>
  <c r="P470" i="1" s="1"/>
  <c r="N469" i="1"/>
  <c r="P469" i="1" s="1"/>
  <c r="N468" i="1"/>
  <c r="P468" i="1" s="1"/>
  <c r="N467" i="1"/>
  <c r="P467" i="1" s="1"/>
  <c r="N466" i="1"/>
  <c r="P466" i="1" s="1"/>
  <c r="N465" i="1"/>
  <c r="P465" i="1" s="1"/>
  <c r="N464" i="1"/>
  <c r="P464" i="1" s="1"/>
  <c r="N463" i="1"/>
  <c r="P463" i="1" s="1"/>
  <c r="N462" i="1"/>
  <c r="P462" i="1" s="1"/>
  <c r="N461" i="1"/>
  <c r="P461" i="1" s="1"/>
  <c r="N460" i="1"/>
  <c r="P460" i="1" s="1"/>
  <c r="N459" i="1"/>
  <c r="P459" i="1" s="1"/>
  <c r="N458" i="1"/>
  <c r="P458" i="1" s="1"/>
  <c r="N457" i="1"/>
  <c r="P457" i="1" s="1"/>
  <c r="N456" i="1"/>
  <c r="P456" i="1" s="1"/>
  <c r="N455" i="1"/>
  <c r="P455" i="1" s="1"/>
  <c r="N454" i="1"/>
  <c r="P454" i="1" s="1"/>
  <c r="N453" i="1"/>
  <c r="P453" i="1" s="1"/>
  <c r="N452" i="1"/>
  <c r="P452" i="1" s="1"/>
  <c r="N451" i="1"/>
  <c r="P451" i="1" s="1"/>
  <c r="N450" i="1"/>
  <c r="P450" i="1" s="1"/>
  <c r="N449" i="1"/>
  <c r="P449" i="1" s="1"/>
  <c r="N448" i="1"/>
  <c r="P448" i="1" s="1"/>
  <c r="N447" i="1"/>
  <c r="P447" i="1" s="1"/>
  <c r="N446" i="1"/>
  <c r="P446" i="1" s="1"/>
  <c r="N445" i="1"/>
  <c r="P445" i="1" s="1"/>
  <c r="N444" i="1"/>
  <c r="P444" i="1" s="1"/>
  <c r="N443" i="1"/>
  <c r="P443" i="1" s="1"/>
  <c r="N442" i="1"/>
  <c r="P442" i="1" s="1"/>
  <c r="N441" i="1"/>
  <c r="P441" i="1" s="1"/>
  <c r="N440" i="1"/>
  <c r="P440" i="1" s="1"/>
  <c r="N439" i="1"/>
  <c r="P439" i="1" s="1"/>
  <c r="N438" i="1"/>
  <c r="P438" i="1" s="1"/>
  <c r="N437" i="1"/>
  <c r="P437" i="1" s="1"/>
  <c r="N436" i="1"/>
  <c r="P436" i="1" s="1"/>
  <c r="N435" i="1"/>
  <c r="P435" i="1" s="1"/>
  <c r="N434" i="1"/>
  <c r="P434" i="1" s="1"/>
  <c r="N433" i="1"/>
  <c r="P433" i="1" s="1"/>
  <c r="N432" i="1"/>
  <c r="P432" i="1" s="1"/>
  <c r="N431" i="1"/>
  <c r="P431" i="1" s="1"/>
  <c r="N430" i="1"/>
  <c r="P430" i="1" s="1"/>
  <c r="N429" i="1"/>
  <c r="P429" i="1" s="1"/>
  <c r="N428" i="1"/>
  <c r="P428" i="1" s="1"/>
  <c r="N427" i="1"/>
  <c r="P427" i="1" s="1"/>
  <c r="N426" i="1"/>
  <c r="P426" i="1" s="1"/>
  <c r="N425" i="1"/>
  <c r="P425" i="1" s="1"/>
  <c r="N424" i="1"/>
  <c r="P424" i="1" s="1"/>
  <c r="N423" i="1"/>
  <c r="P423" i="1" s="1"/>
  <c r="N422" i="1"/>
  <c r="P422" i="1" s="1"/>
  <c r="N421" i="1"/>
  <c r="P421" i="1" s="1"/>
  <c r="N420" i="1"/>
  <c r="P420" i="1" s="1"/>
  <c r="N419" i="1"/>
  <c r="P419" i="1" s="1"/>
  <c r="N418" i="1"/>
  <c r="P418" i="1" s="1"/>
  <c r="N417" i="1"/>
  <c r="P417" i="1" s="1"/>
  <c r="N416" i="1"/>
  <c r="P416" i="1" s="1"/>
  <c r="N415" i="1"/>
  <c r="P415" i="1" s="1"/>
  <c r="N414" i="1"/>
  <c r="P414" i="1" s="1"/>
  <c r="N413" i="1"/>
  <c r="P413" i="1" s="1"/>
  <c r="N412" i="1"/>
  <c r="P412" i="1" s="1"/>
  <c r="N411" i="1"/>
  <c r="P411" i="1" s="1"/>
  <c r="N410" i="1"/>
  <c r="P410" i="1" s="1"/>
  <c r="N409" i="1"/>
  <c r="P409" i="1" s="1"/>
  <c r="N408" i="1"/>
  <c r="P408" i="1" s="1"/>
  <c r="N407" i="1"/>
  <c r="P407" i="1" s="1"/>
  <c r="N406" i="1"/>
  <c r="P406" i="1" s="1"/>
  <c r="N405" i="1"/>
  <c r="P405" i="1" s="1"/>
  <c r="N404" i="1"/>
  <c r="P404" i="1" s="1"/>
  <c r="N403" i="1"/>
  <c r="P403" i="1" s="1"/>
  <c r="N402" i="1"/>
  <c r="P402" i="1" s="1"/>
  <c r="N401" i="1"/>
  <c r="P401" i="1" s="1"/>
  <c r="N400" i="1"/>
  <c r="P400" i="1" s="1"/>
  <c r="N399" i="1"/>
  <c r="P399" i="1" s="1"/>
  <c r="N398" i="1"/>
  <c r="P398" i="1" s="1"/>
  <c r="N397" i="1"/>
  <c r="P397" i="1" s="1"/>
  <c r="N396" i="1"/>
  <c r="P396" i="1" s="1"/>
  <c r="N395" i="1"/>
  <c r="P395" i="1" s="1"/>
  <c r="N394" i="1"/>
  <c r="P394" i="1" s="1"/>
  <c r="N393" i="1"/>
  <c r="P393" i="1" s="1"/>
  <c r="N392" i="1"/>
  <c r="P392" i="1" s="1"/>
  <c r="N391" i="1"/>
  <c r="P391" i="1" s="1"/>
  <c r="N390" i="1"/>
  <c r="P390" i="1" s="1"/>
  <c r="N389" i="1"/>
  <c r="P389" i="1" s="1"/>
  <c r="N388" i="1"/>
  <c r="P388" i="1" s="1"/>
  <c r="N387" i="1"/>
  <c r="P387" i="1" s="1"/>
  <c r="N386" i="1"/>
  <c r="P386" i="1" s="1"/>
  <c r="N385" i="1"/>
  <c r="P385" i="1" s="1"/>
  <c r="N384" i="1"/>
  <c r="P384" i="1" s="1"/>
  <c r="N383" i="1"/>
  <c r="P383" i="1" s="1"/>
  <c r="N382" i="1"/>
  <c r="P382" i="1" s="1"/>
  <c r="N381" i="1"/>
  <c r="P381" i="1" s="1"/>
  <c r="N380" i="1"/>
  <c r="P380" i="1" s="1"/>
  <c r="N379" i="1"/>
  <c r="P379" i="1" s="1"/>
  <c r="N378" i="1"/>
  <c r="P378" i="1" s="1"/>
  <c r="N377" i="1"/>
  <c r="P377" i="1" s="1"/>
  <c r="N376" i="1"/>
  <c r="P376" i="1" s="1"/>
  <c r="N375" i="1"/>
  <c r="P375" i="1" s="1"/>
  <c r="N374" i="1"/>
  <c r="P374" i="1" s="1"/>
  <c r="N373" i="1"/>
  <c r="P373" i="1" s="1"/>
  <c r="N372" i="1"/>
  <c r="P372" i="1" s="1"/>
  <c r="N371" i="1"/>
  <c r="P371" i="1" s="1"/>
  <c r="N370" i="1"/>
  <c r="P370" i="1" s="1"/>
  <c r="N369" i="1"/>
  <c r="P369" i="1" s="1"/>
  <c r="N368" i="1"/>
  <c r="P368" i="1" s="1"/>
  <c r="N367" i="1"/>
  <c r="P367" i="1" s="1"/>
  <c r="N366" i="1"/>
  <c r="P366" i="1" s="1"/>
  <c r="N365" i="1"/>
  <c r="P365" i="1" s="1"/>
  <c r="N364" i="1"/>
  <c r="P364" i="1" s="1"/>
  <c r="N363" i="1"/>
  <c r="P363" i="1" s="1"/>
  <c r="N362" i="1"/>
  <c r="P362" i="1" s="1"/>
  <c r="N361" i="1"/>
  <c r="P361" i="1" s="1"/>
  <c r="N360" i="1"/>
  <c r="P360" i="1" s="1"/>
  <c r="N359" i="1"/>
  <c r="P359" i="1" s="1"/>
  <c r="N358" i="1"/>
  <c r="P358" i="1" s="1"/>
  <c r="N357" i="1"/>
  <c r="P357" i="1" s="1"/>
  <c r="N356" i="1"/>
  <c r="P356" i="1" s="1"/>
  <c r="N355" i="1"/>
  <c r="P355" i="1" s="1"/>
  <c r="N354" i="1"/>
  <c r="P354" i="1" s="1"/>
  <c r="N353" i="1"/>
  <c r="P353" i="1" s="1"/>
  <c r="N352" i="1"/>
  <c r="P352" i="1" s="1"/>
  <c r="N351" i="1"/>
  <c r="P351" i="1" s="1"/>
  <c r="N350" i="1"/>
  <c r="P350" i="1" s="1"/>
  <c r="N349" i="1"/>
  <c r="P349" i="1" s="1"/>
  <c r="N348" i="1"/>
  <c r="P348" i="1" s="1"/>
  <c r="N347" i="1"/>
  <c r="P347" i="1" s="1"/>
  <c r="N346" i="1"/>
  <c r="P346" i="1" s="1"/>
  <c r="N345" i="1"/>
  <c r="P345" i="1" s="1"/>
  <c r="N344" i="1"/>
  <c r="P344" i="1" s="1"/>
  <c r="N343" i="1"/>
  <c r="P343" i="1" s="1"/>
  <c r="N342" i="1"/>
  <c r="P342" i="1" s="1"/>
  <c r="N341" i="1"/>
  <c r="P341" i="1" s="1"/>
  <c r="N340" i="1"/>
  <c r="P340" i="1" s="1"/>
  <c r="N339" i="1"/>
  <c r="P339" i="1" s="1"/>
  <c r="N338" i="1"/>
  <c r="P338" i="1" s="1"/>
  <c r="N337" i="1"/>
  <c r="P337" i="1" s="1"/>
  <c r="N336" i="1"/>
  <c r="P336" i="1" s="1"/>
  <c r="N335" i="1"/>
  <c r="P335" i="1" s="1"/>
  <c r="N334" i="1"/>
  <c r="P334" i="1" s="1"/>
  <c r="N333" i="1"/>
  <c r="P333" i="1" s="1"/>
  <c r="N332" i="1"/>
  <c r="P332" i="1" s="1"/>
  <c r="N331" i="1"/>
  <c r="P331" i="1" s="1"/>
  <c r="N330" i="1"/>
  <c r="P330" i="1" s="1"/>
  <c r="N329" i="1"/>
  <c r="P329" i="1" s="1"/>
  <c r="N328" i="1"/>
  <c r="P328" i="1" s="1"/>
  <c r="N327" i="1"/>
  <c r="P327" i="1" s="1"/>
  <c r="N326" i="1"/>
  <c r="P326" i="1" s="1"/>
  <c r="N325" i="1"/>
  <c r="P325" i="1" s="1"/>
  <c r="N324" i="1"/>
  <c r="P324" i="1" s="1"/>
  <c r="N323" i="1"/>
  <c r="P323" i="1" s="1"/>
  <c r="N322" i="1"/>
  <c r="P322" i="1" s="1"/>
  <c r="N321" i="1"/>
  <c r="P321" i="1" s="1"/>
  <c r="N320" i="1"/>
  <c r="P320" i="1" s="1"/>
  <c r="N319" i="1"/>
  <c r="P319" i="1" s="1"/>
  <c r="N318" i="1"/>
  <c r="P318" i="1" s="1"/>
  <c r="N317" i="1"/>
  <c r="P317" i="1" s="1"/>
  <c r="N316" i="1"/>
  <c r="P316" i="1" s="1"/>
  <c r="N315" i="1"/>
  <c r="P315" i="1" s="1"/>
  <c r="N314" i="1"/>
  <c r="P314" i="1" s="1"/>
  <c r="N313" i="1"/>
  <c r="P313" i="1" s="1"/>
  <c r="N312" i="1"/>
  <c r="P312" i="1" s="1"/>
  <c r="N311" i="1"/>
  <c r="P311" i="1" s="1"/>
  <c r="N310" i="1"/>
  <c r="P310" i="1" s="1"/>
  <c r="N309" i="1"/>
  <c r="P309" i="1" s="1"/>
  <c r="N308" i="1"/>
  <c r="P308" i="1" s="1"/>
  <c r="N307" i="1"/>
  <c r="P307" i="1" s="1"/>
  <c r="N306" i="1"/>
  <c r="P306" i="1" s="1"/>
  <c r="N305" i="1"/>
  <c r="P305" i="1" s="1"/>
  <c r="N304" i="1"/>
  <c r="P304" i="1" s="1"/>
  <c r="N303" i="1"/>
  <c r="P303" i="1" s="1"/>
  <c r="N302" i="1"/>
  <c r="P302" i="1" s="1"/>
  <c r="N301" i="1"/>
  <c r="P301" i="1" s="1"/>
  <c r="N300" i="1"/>
  <c r="P300" i="1" s="1"/>
  <c r="N299" i="1"/>
  <c r="P299" i="1" s="1"/>
  <c r="N298" i="1"/>
  <c r="P298" i="1" s="1"/>
  <c r="N297" i="1"/>
  <c r="P297" i="1" s="1"/>
  <c r="N296" i="1"/>
  <c r="P296" i="1" s="1"/>
  <c r="N295" i="1"/>
  <c r="P295" i="1" s="1"/>
  <c r="N294" i="1"/>
  <c r="P294" i="1" s="1"/>
  <c r="N293" i="1"/>
  <c r="P293" i="1" s="1"/>
  <c r="N292" i="1"/>
  <c r="P292" i="1" s="1"/>
  <c r="N291" i="1"/>
  <c r="P291" i="1" s="1"/>
  <c r="N290" i="1"/>
  <c r="P290" i="1" s="1"/>
  <c r="N289" i="1"/>
  <c r="P289" i="1" s="1"/>
  <c r="N288" i="1"/>
  <c r="P288" i="1" s="1"/>
  <c r="N287" i="1"/>
  <c r="P287" i="1" s="1"/>
  <c r="N286" i="1"/>
  <c r="P286" i="1" s="1"/>
  <c r="N285" i="1"/>
  <c r="P285" i="1" s="1"/>
  <c r="N284" i="1"/>
  <c r="P284" i="1" s="1"/>
  <c r="N283" i="1"/>
  <c r="P283" i="1" s="1"/>
  <c r="N282" i="1"/>
  <c r="P282" i="1" s="1"/>
  <c r="N281" i="1"/>
  <c r="P281" i="1" s="1"/>
  <c r="N280" i="1"/>
  <c r="P280" i="1" s="1"/>
  <c r="N279" i="1"/>
  <c r="P279" i="1" s="1"/>
  <c r="N278" i="1"/>
  <c r="P278" i="1" s="1"/>
  <c r="N277" i="1"/>
  <c r="P277" i="1" s="1"/>
  <c r="N276" i="1"/>
  <c r="P276" i="1" s="1"/>
  <c r="N275" i="1"/>
  <c r="P275" i="1" s="1"/>
  <c r="N274" i="1"/>
  <c r="P274" i="1" s="1"/>
  <c r="N273" i="1"/>
  <c r="P273" i="1" s="1"/>
  <c r="N272" i="1"/>
  <c r="P272" i="1" s="1"/>
  <c r="N271" i="1"/>
  <c r="P271" i="1" s="1"/>
  <c r="N270" i="1"/>
  <c r="P270" i="1" s="1"/>
  <c r="N269" i="1"/>
  <c r="P269" i="1" s="1"/>
  <c r="N268" i="1"/>
  <c r="P268" i="1" s="1"/>
  <c r="N267" i="1"/>
  <c r="P267" i="1" s="1"/>
  <c r="N266" i="1"/>
  <c r="P266" i="1" s="1"/>
  <c r="N265" i="1"/>
  <c r="P265" i="1" s="1"/>
  <c r="N264" i="1"/>
  <c r="P264" i="1" s="1"/>
  <c r="N263" i="1"/>
  <c r="P263" i="1" s="1"/>
  <c r="N262" i="1"/>
  <c r="P262" i="1" s="1"/>
  <c r="N261" i="1"/>
  <c r="P261" i="1" s="1"/>
  <c r="N260" i="1"/>
  <c r="P260" i="1" s="1"/>
  <c r="N259" i="1"/>
  <c r="P259" i="1" s="1"/>
  <c r="N258" i="1"/>
  <c r="P258" i="1" s="1"/>
  <c r="N257" i="1"/>
  <c r="P257" i="1" s="1"/>
  <c r="N256" i="1"/>
  <c r="P256" i="1" s="1"/>
  <c r="N255" i="1"/>
  <c r="P255" i="1" s="1"/>
  <c r="N254" i="1"/>
  <c r="P254" i="1" s="1"/>
  <c r="N253" i="1"/>
  <c r="P253" i="1" s="1"/>
  <c r="N252" i="1"/>
  <c r="P252" i="1" s="1"/>
  <c r="N251" i="1"/>
  <c r="P251" i="1" s="1"/>
  <c r="N250" i="1"/>
  <c r="P250" i="1" s="1"/>
  <c r="N249" i="1"/>
  <c r="P249" i="1" s="1"/>
  <c r="N248" i="1"/>
  <c r="P248" i="1" s="1"/>
  <c r="N247" i="1"/>
  <c r="P247" i="1" s="1"/>
  <c r="N246" i="1"/>
  <c r="P246" i="1" s="1"/>
  <c r="N245" i="1"/>
  <c r="P245" i="1" s="1"/>
  <c r="N244" i="1"/>
  <c r="P244" i="1" s="1"/>
  <c r="N243" i="1"/>
  <c r="P243" i="1" s="1"/>
  <c r="N242" i="1"/>
  <c r="P242" i="1" s="1"/>
  <c r="N241" i="1"/>
  <c r="P241" i="1" s="1"/>
  <c r="N240" i="1"/>
  <c r="P240" i="1" s="1"/>
  <c r="N239" i="1"/>
  <c r="P239" i="1" s="1"/>
  <c r="N238" i="1"/>
  <c r="P238" i="1" s="1"/>
  <c r="N237" i="1"/>
  <c r="P237" i="1" s="1"/>
  <c r="N236" i="1"/>
  <c r="P236" i="1" s="1"/>
  <c r="N235" i="1"/>
  <c r="P235" i="1" s="1"/>
  <c r="N234" i="1"/>
  <c r="P234" i="1" s="1"/>
  <c r="N233" i="1"/>
  <c r="P233" i="1" s="1"/>
  <c r="N232" i="1"/>
  <c r="P232" i="1" s="1"/>
  <c r="N231" i="1"/>
  <c r="P231" i="1" s="1"/>
  <c r="N230" i="1"/>
  <c r="P230" i="1" s="1"/>
  <c r="N229" i="1"/>
  <c r="P229" i="1" s="1"/>
  <c r="N228" i="1"/>
  <c r="P228" i="1" s="1"/>
  <c r="N227" i="1"/>
  <c r="P227" i="1" s="1"/>
  <c r="N226" i="1"/>
  <c r="P226" i="1" s="1"/>
  <c r="N225" i="1"/>
  <c r="P225" i="1" s="1"/>
  <c r="N224" i="1"/>
  <c r="P224" i="1" s="1"/>
  <c r="N223" i="1"/>
  <c r="P223" i="1" s="1"/>
  <c r="N222" i="1"/>
  <c r="P222" i="1" s="1"/>
  <c r="N221" i="1"/>
  <c r="P221" i="1" s="1"/>
  <c r="N220" i="1"/>
  <c r="P220" i="1" s="1"/>
  <c r="N219" i="1"/>
  <c r="P219" i="1" s="1"/>
  <c r="N218" i="1"/>
  <c r="P218" i="1" s="1"/>
  <c r="N217" i="1"/>
  <c r="P217" i="1" s="1"/>
  <c r="N216" i="1"/>
  <c r="P216" i="1" s="1"/>
  <c r="N215" i="1"/>
  <c r="P215" i="1" s="1"/>
  <c r="N214" i="1"/>
  <c r="P214" i="1" s="1"/>
  <c r="N213" i="1"/>
  <c r="P213" i="1" s="1"/>
  <c r="N212" i="1"/>
  <c r="P212" i="1" s="1"/>
  <c r="N211" i="1"/>
  <c r="P211" i="1" s="1"/>
  <c r="N210" i="1"/>
  <c r="P210" i="1" s="1"/>
  <c r="N209" i="1"/>
  <c r="P209" i="1" s="1"/>
  <c r="N208" i="1"/>
  <c r="P208" i="1" s="1"/>
  <c r="N207" i="1"/>
  <c r="P207" i="1" s="1"/>
  <c r="N206" i="1"/>
  <c r="P206" i="1" s="1"/>
  <c r="N205" i="1"/>
  <c r="P205" i="1" s="1"/>
  <c r="N204" i="1"/>
  <c r="P204" i="1" s="1"/>
  <c r="N203" i="1"/>
  <c r="P203" i="1" s="1"/>
  <c r="N202" i="1"/>
  <c r="P202" i="1" s="1"/>
  <c r="N201" i="1"/>
  <c r="P201" i="1" s="1"/>
  <c r="N200" i="1"/>
  <c r="P200" i="1" s="1"/>
  <c r="N199" i="1"/>
  <c r="P199" i="1" s="1"/>
  <c r="N198" i="1"/>
  <c r="P198" i="1" s="1"/>
  <c r="N197" i="1"/>
  <c r="P197" i="1" s="1"/>
  <c r="N196" i="1"/>
  <c r="P196" i="1" s="1"/>
  <c r="N195" i="1"/>
  <c r="P195" i="1" s="1"/>
  <c r="N194" i="1"/>
  <c r="P194" i="1" s="1"/>
  <c r="N193" i="1"/>
  <c r="P193" i="1" s="1"/>
  <c r="N192" i="1"/>
  <c r="P192" i="1" s="1"/>
  <c r="N191" i="1"/>
  <c r="P191" i="1" s="1"/>
  <c r="N190" i="1"/>
  <c r="P190" i="1" s="1"/>
  <c r="N189" i="1"/>
  <c r="P189" i="1" s="1"/>
  <c r="N188" i="1"/>
  <c r="P188" i="1" s="1"/>
  <c r="N187" i="1"/>
  <c r="P187" i="1" s="1"/>
  <c r="N186" i="1"/>
  <c r="P186" i="1" s="1"/>
  <c r="N185" i="1"/>
  <c r="P185" i="1" s="1"/>
  <c r="N184" i="1"/>
  <c r="P184" i="1" s="1"/>
  <c r="N183" i="1"/>
  <c r="P183" i="1" s="1"/>
  <c r="N182" i="1"/>
  <c r="P182" i="1" s="1"/>
  <c r="N181" i="1"/>
  <c r="P181" i="1" s="1"/>
  <c r="N180" i="1"/>
  <c r="P180" i="1" s="1"/>
  <c r="N179" i="1"/>
  <c r="P179" i="1" s="1"/>
  <c r="N178" i="1"/>
  <c r="P178" i="1" s="1"/>
  <c r="N177" i="1"/>
  <c r="P177" i="1" s="1"/>
  <c r="N176" i="1"/>
  <c r="P176" i="1" s="1"/>
  <c r="N175" i="1"/>
  <c r="P175" i="1" s="1"/>
  <c r="N174" i="1"/>
  <c r="P174" i="1" s="1"/>
  <c r="N173" i="1"/>
  <c r="P173" i="1" s="1"/>
  <c r="N172" i="1"/>
  <c r="P172" i="1" s="1"/>
  <c r="N171" i="1"/>
  <c r="P171" i="1" s="1"/>
  <c r="N170" i="1"/>
  <c r="P170" i="1" s="1"/>
  <c r="N169" i="1"/>
  <c r="P169" i="1" s="1"/>
  <c r="N168" i="1"/>
  <c r="P168" i="1" s="1"/>
  <c r="N167" i="1"/>
  <c r="P167" i="1" s="1"/>
  <c r="N166" i="1"/>
  <c r="P166" i="1" s="1"/>
  <c r="N165" i="1"/>
  <c r="P165" i="1" s="1"/>
  <c r="N164" i="1"/>
  <c r="P164" i="1" s="1"/>
  <c r="N163" i="1"/>
  <c r="P163" i="1" s="1"/>
  <c r="N162" i="1"/>
  <c r="P162" i="1" s="1"/>
  <c r="N161" i="1"/>
  <c r="P161" i="1" s="1"/>
  <c r="N160" i="1"/>
  <c r="P160" i="1" s="1"/>
  <c r="N159" i="1"/>
  <c r="P159" i="1" s="1"/>
  <c r="N158" i="1"/>
  <c r="P158" i="1" s="1"/>
  <c r="N157" i="1"/>
  <c r="P157" i="1" s="1"/>
  <c r="N156" i="1"/>
  <c r="P156" i="1" s="1"/>
  <c r="N155" i="1"/>
  <c r="P155" i="1" s="1"/>
  <c r="N154" i="1"/>
  <c r="P154" i="1" s="1"/>
  <c r="N153" i="1"/>
  <c r="P153" i="1" s="1"/>
  <c r="N152" i="1"/>
  <c r="P152" i="1" s="1"/>
  <c r="N151" i="1"/>
  <c r="P151" i="1" s="1"/>
  <c r="N150" i="1"/>
  <c r="P150" i="1" s="1"/>
  <c r="N149" i="1"/>
  <c r="P149" i="1" s="1"/>
  <c r="N148" i="1"/>
  <c r="P148" i="1" s="1"/>
  <c r="N147" i="1"/>
  <c r="P147" i="1" s="1"/>
  <c r="N146" i="1"/>
  <c r="P146" i="1" s="1"/>
  <c r="N145" i="1"/>
  <c r="P145" i="1" s="1"/>
  <c r="N144" i="1"/>
  <c r="P144" i="1" s="1"/>
  <c r="N143" i="1"/>
  <c r="P143" i="1" s="1"/>
  <c r="N142" i="1"/>
  <c r="P142" i="1" s="1"/>
  <c r="N141" i="1"/>
  <c r="P141" i="1" s="1"/>
  <c r="N140" i="1"/>
  <c r="P140" i="1" s="1"/>
  <c r="N139" i="1"/>
  <c r="P139" i="1" s="1"/>
  <c r="N138" i="1"/>
  <c r="P138" i="1" s="1"/>
  <c r="N137" i="1"/>
  <c r="P137" i="1" s="1"/>
  <c r="N136" i="1"/>
  <c r="P136" i="1" s="1"/>
  <c r="N135" i="1"/>
  <c r="P135" i="1" s="1"/>
  <c r="N134" i="1"/>
  <c r="P134" i="1" s="1"/>
  <c r="N133" i="1"/>
  <c r="P133" i="1" s="1"/>
  <c r="N132" i="1"/>
  <c r="P132" i="1" s="1"/>
  <c r="N131" i="1"/>
  <c r="P131" i="1" s="1"/>
  <c r="N130" i="1"/>
  <c r="P130" i="1" s="1"/>
  <c r="N129" i="1"/>
  <c r="P129" i="1" s="1"/>
  <c r="N128" i="1"/>
  <c r="P128" i="1" s="1"/>
  <c r="N127" i="1"/>
  <c r="P127" i="1" s="1"/>
  <c r="N126" i="1"/>
  <c r="P126" i="1" s="1"/>
  <c r="N125" i="1"/>
  <c r="P125" i="1" s="1"/>
  <c r="N124" i="1"/>
  <c r="P124" i="1" s="1"/>
  <c r="N123" i="1"/>
  <c r="P123" i="1" s="1"/>
  <c r="N122" i="1"/>
  <c r="P122" i="1" s="1"/>
  <c r="N121" i="1"/>
  <c r="P121" i="1" s="1"/>
  <c r="N120" i="1"/>
  <c r="P120" i="1" s="1"/>
  <c r="N119" i="1"/>
  <c r="P119" i="1" s="1"/>
  <c r="N118" i="1"/>
  <c r="P118" i="1" s="1"/>
  <c r="N117" i="1"/>
  <c r="P117" i="1" s="1"/>
  <c r="N116" i="1"/>
  <c r="P116" i="1" s="1"/>
  <c r="N115" i="1"/>
  <c r="P115" i="1" s="1"/>
  <c r="N114" i="1"/>
  <c r="P114" i="1" s="1"/>
  <c r="N113" i="1"/>
  <c r="P113" i="1" s="1"/>
  <c r="N112" i="1"/>
  <c r="P112" i="1" s="1"/>
  <c r="N111" i="1"/>
  <c r="P111" i="1" s="1"/>
  <c r="N110" i="1"/>
  <c r="P110" i="1" s="1"/>
  <c r="N109" i="1"/>
  <c r="P109" i="1" s="1"/>
  <c r="N108" i="1"/>
  <c r="P108" i="1" s="1"/>
  <c r="N107" i="1"/>
  <c r="P107" i="1" s="1"/>
  <c r="N106" i="1"/>
  <c r="P106" i="1" s="1"/>
  <c r="N105" i="1"/>
  <c r="P105" i="1" s="1"/>
  <c r="N104" i="1"/>
  <c r="P104" i="1" s="1"/>
  <c r="N103" i="1"/>
  <c r="P103" i="1" s="1"/>
  <c r="N102" i="1"/>
  <c r="P102" i="1" s="1"/>
  <c r="N101" i="1"/>
  <c r="P101" i="1" s="1"/>
  <c r="N100" i="1"/>
  <c r="P100" i="1" s="1"/>
  <c r="N99" i="1"/>
  <c r="P99" i="1" s="1"/>
  <c r="N98" i="1"/>
  <c r="P98" i="1" s="1"/>
  <c r="N97" i="1"/>
  <c r="P97" i="1" s="1"/>
  <c r="N96" i="1"/>
  <c r="P96" i="1" s="1"/>
  <c r="N95" i="1"/>
  <c r="P95" i="1" s="1"/>
  <c r="N94" i="1"/>
  <c r="P94" i="1" s="1"/>
  <c r="N93" i="1"/>
  <c r="P93" i="1" s="1"/>
  <c r="N92" i="1"/>
  <c r="P92" i="1" s="1"/>
  <c r="N91" i="1"/>
  <c r="P91" i="1" s="1"/>
  <c r="N90" i="1"/>
  <c r="P90" i="1" s="1"/>
  <c r="N89" i="1"/>
  <c r="P89" i="1" s="1"/>
  <c r="N88" i="1"/>
  <c r="P88" i="1" s="1"/>
  <c r="N87" i="1"/>
  <c r="P87" i="1" s="1"/>
  <c r="N86" i="1"/>
  <c r="P86" i="1" s="1"/>
  <c r="N85" i="1"/>
  <c r="P85" i="1" s="1"/>
  <c r="N84" i="1"/>
  <c r="P84" i="1" s="1"/>
  <c r="N83" i="1"/>
  <c r="P83" i="1" s="1"/>
  <c r="N82" i="1"/>
  <c r="P82" i="1" s="1"/>
  <c r="N81" i="1"/>
  <c r="P81" i="1" s="1"/>
  <c r="N80" i="1"/>
  <c r="P80" i="1" s="1"/>
  <c r="N79" i="1"/>
  <c r="P79" i="1" s="1"/>
  <c r="N78" i="1"/>
  <c r="P78" i="1" s="1"/>
  <c r="N77" i="1"/>
  <c r="P77" i="1" s="1"/>
  <c r="N76" i="1"/>
  <c r="P76" i="1" s="1"/>
  <c r="N75" i="1"/>
  <c r="P75" i="1" s="1"/>
  <c r="N74" i="1"/>
  <c r="P74" i="1" s="1"/>
  <c r="N73" i="1"/>
  <c r="P73" i="1" s="1"/>
  <c r="N72" i="1"/>
  <c r="P72" i="1" s="1"/>
  <c r="N71" i="1"/>
  <c r="P71" i="1" s="1"/>
  <c r="N70" i="1"/>
  <c r="P70" i="1" s="1"/>
  <c r="N69" i="1"/>
  <c r="P69" i="1" s="1"/>
  <c r="N68" i="1"/>
  <c r="P68" i="1" s="1"/>
  <c r="N67" i="1"/>
  <c r="P67" i="1" s="1"/>
  <c r="N66" i="1"/>
  <c r="P66" i="1" s="1"/>
  <c r="N65" i="1"/>
  <c r="P65" i="1" s="1"/>
  <c r="N64" i="1"/>
  <c r="P64" i="1" s="1"/>
  <c r="N63" i="1"/>
  <c r="P63" i="1" s="1"/>
  <c r="N62" i="1"/>
  <c r="P62" i="1" s="1"/>
  <c r="N61" i="1"/>
  <c r="P61" i="1" s="1"/>
  <c r="N60" i="1"/>
  <c r="P60" i="1" s="1"/>
  <c r="N59" i="1"/>
  <c r="P59" i="1" s="1"/>
  <c r="N58" i="1"/>
  <c r="P58" i="1" s="1"/>
  <c r="N57" i="1"/>
  <c r="P57" i="1" s="1"/>
  <c r="N56" i="1"/>
  <c r="P56" i="1" s="1"/>
  <c r="N55" i="1"/>
  <c r="P55" i="1" s="1"/>
  <c r="N54" i="1"/>
  <c r="P54" i="1" s="1"/>
  <c r="N53" i="1"/>
  <c r="P53" i="1" s="1"/>
  <c r="N52" i="1"/>
  <c r="P52" i="1" s="1"/>
  <c r="N51" i="1"/>
  <c r="P51" i="1" s="1"/>
  <c r="N50" i="1"/>
  <c r="P50" i="1" s="1"/>
  <c r="N49" i="1"/>
  <c r="P49" i="1" s="1"/>
  <c r="N48" i="1"/>
  <c r="P48" i="1" s="1"/>
  <c r="N47" i="1"/>
  <c r="P47" i="1" s="1"/>
  <c r="N46" i="1"/>
  <c r="P46" i="1" s="1"/>
  <c r="N45" i="1"/>
  <c r="P45" i="1" s="1"/>
  <c r="N44" i="1"/>
  <c r="P44" i="1" s="1"/>
  <c r="N43" i="1"/>
  <c r="P43" i="1" s="1"/>
  <c r="N42" i="1"/>
  <c r="P42" i="1" s="1"/>
  <c r="N41" i="1"/>
  <c r="P41" i="1" s="1"/>
  <c r="N40" i="1"/>
  <c r="P40" i="1" s="1"/>
  <c r="N39" i="1"/>
  <c r="P39" i="1" s="1"/>
  <c r="N38" i="1"/>
  <c r="P38" i="1" s="1"/>
  <c r="N37" i="1"/>
  <c r="P37" i="1" s="1"/>
  <c r="N36" i="1"/>
  <c r="P36" i="1" s="1"/>
  <c r="N35" i="1"/>
  <c r="P35" i="1" s="1"/>
  <c r="N34" i="1"/>
  <c r="P34" i="1" s="1"/>
  <c r="N33" i="1"/>
  <c r="P33" i="1" s="1"/>
  <c r="N32" i="1"/>
  <c r="P32" i="1" s="1"/>
  <c r="N31" i="1"/>
  <c r="P31" i="1" s="1"/>
  <c r="N30" i="1"/>
  <c r="P30" i="1" s="1"/>
  <c r="N29" i="1"/>
  <c r="P29" i="1" s="1"/>
  <c r="N28" i="1"/>
  <c r="P28" i="1" s="1"/>
  <c r="N27" i="1"/>
  <c r="P27" i="1" s="1"/>
  <c r="N26" i="1"/>
  <c r="P26" i="1" s="1"/>
  <c r="N25" i="1"/>
  <c r="P25" i="1" s="1"/>
  <c r="N24" i="1"/>
  <c r="P24" i="1" s="1"/>
  <c r="N23" i="1"/>
  <c r="P23" i="1" s="1"/>
  <c r="N22" i="1"/>
  <c r="P22" i="1" s="1"/>
  <c r="N21" i="1"/>
  <c r="P21" i="1" s="1"/>
  <c r="N20" i="1"/>
  <c r="P20" i="1" s="1"/>
  <c r="N19" i="1"/>
  <c r="P19" i="1" s="1"/>
  <c r="N18" i="1"/>
  <c r="P18" i="1" s="1"/>
  <c r="N17" i="1"/>
  <c r="P17" i="1" s="1"/>
  <c r="N16" i="1"/>
  <c r="P16" i="1" s="1"/>
  <c r="N15" i="1"/>
  <c r="P15" i="1" s="1"/>
  <c r="N14" i="1"/>
  <c r="P14" i="1" s="1"/>
  <c r="N13" i="1"/>
  <c r="P13" i="1" s="1"/>
  <c r="N12" i="1"/>
  <c r="P12" i="1" s="1"/>
  <c r="N11" i="1"/>
  <c r="P11" i="1" s="1"/>
  <c r="N10" i="1"/>
  <c r="P10" i="1" s="1"/>
  <c r="N9" i="1"/>
  <c r="P9" i="1" s="1"/>
  <c r="N8" i="1"/>
  <c r="P8" i="1" s="1"/>
  <c r="N7" i="1"/>
  <c r="P7" i="1" s="1"/>
  <c r="N5" i="1"/>
  <c r="P5" i="1" s="1"/>
  <c r="N4" i="1"/>
  <c r="P4" i="1" s="1"/>
  <c r="N3" i="1"/>
  <c r="P3" i="1" s="1"/>
  <c r="N2" i="1"/>
  <c r="P2" i="1" s="1"/>
  <c r="N6" i="1"/>
  <c r="P6" i="1" s="1"/>
</calcChain>
</file>

<file path=xl/sharedStrings.xml><?xml version="1.0" encoding="utf-8"?>
<sst xmlns="http://schemas.openxmlformats.org/spreadsheetml/2006/main" count="4416" uniqueCount="870">
  <si>
    <t>CSOD Field Name</t>
  </si>
  <si>
    <t>Mandatory/Optional</t>
  </si>
  <si>
    <t>Field Type</t>
  </si>
  <si>
    <t>Character Length</t>
  </si>
  <si>
    <t>Default value</t>
  </si>
  <si>
    <t>CSOD Accepted Values</t>
  </si>
  <si>
    <t>SumTotal Field Name</t>
  </si>
  <si>
    <t>FieldType</t>
  </si>
  <si>
    <t>SumTotal Accepted Values</t>
  </si>
  <si>
    <t>Facility Id*</t>
  </si>
  <si>
    <t>Mandatory</t>
  </si>
  <si>
    <t>Char</t>
  </si>
  <si>
    <t>FacilityId</t>
  </si>
  <si>
    <t>nvarchar</t>
  </si>
  <si>
    <t>Facility Name*</t>
  </si>
  <si>
    <t>Facility Name</t>
  </si>
  <si>
    <t>Active</t>
  </si>
  <si>
    <t>Optional</t>
  </si>
  <si>
    <t>Boolean</t>
  </si>
  <si>
    <t>1, 0, y, n, yes, no, t, f, true, false, on, off, active, inactive</t>
  </si>
  <si>
    <t>Facility Type*</t>
  </si>
  <si>
    <t>Facility Type</t>
  </si>
  <si>
    <t>Time Zone ID*</t>
  </si>
  <si>
    <t>Time Zone</t>
  </si>
  <si>
    <t>Approval Required</t>
  </si>
  <si>
    <t>int</t>
  </si>
  <si>
    <t>0,1</t>
  </si>
  <si>
    <t>On site</t>
  </si>
  <si>
    <t>Allow Reconcile</t>
  </si>
  <si>
    <t>Parent ID</t>
  </si>
  <si>
    <t>Address 1</t>
  </si>
  <si>
    <t>Address 2</t>
  </si>
  <si>
    <t>City</t>
  </si>
  <si>
    <t>State</t>
  </si>
  <si>
    <t>Zip</t>
  </si>
  <si>
    <t>Country</t>
  </si>
  <si>
    <t>Contact</t>
  </si>
  <si>
    <t>Phone</t>
  </si>
  <si>
    <t>Fax</t>
  </si>
  <si>
    <t>Facility Email</t>
  </si>
  <si>
    <t>Occupancy</t>
  </si>
  <si>
    <t>Created/Modified By</t>
  </si>
  <si>
    <t>Owner ID</t>
  </si>
  <si>
    <t>Facility_Location(ST)-Facility(CSOD)</t>
  </si>
  <si>
    <t>Facility</t>
  </si>
  <si>
    <t>Group</t>
  </si>
  <si>
    <t>Activity</t>
  </si>
  <si>
    <t>Curriculum ID*</t>
  </si>
  <si>
    <t>Activity Code</t>
  </si>
  <si>
    <t>Section Name</t>
  </si>
  <si>
    <t>SectionName</t>
  </si>
  <si>
    <t>Child LO ID</t>
  </si>
  <si>
    <t>Child ActivityCode</t>
  </si>
  <si>
    <t>Curriculum Title*</t>
  </si>
  <si>
    <t>ActivityName</t>
  </si>
  <si>
    <t>Vendor/Provider*</t>
  </si>
  <si>
    <t>Online Content</t>
  </si>
  <si>
    <t>Provider</t>
  </si>
  <si>
    <t>Provider type*</t>
  </si>
  <si>
    <t>ONLINE</t>
  </si>
  <si>
    <t>ONLINE,ILT</t>
  </si>
  <si>
    <t>Default Language</t>
  </si>
  <si>
    <t>Subject IDs*</t>
  </si>
  <si>
    <t>Topic</t>
  </si>
  <si>
    <t>navrchar</t>
  </si>
  <si>
    <t>Description</t>
  </si>
  <si>
    <t>Activity Description</t>
  </si>
  <si>
    <t>Owners*</t>
  </si>
  <si>
    <t>TRN1000194</t>
  </si>
  <si>
    <t>Owner</t>
  </si>
  <si>
    <t>Keywords</t>
  </si>
  <si>
    <t>Available Languages</t>
  </si>
  <si>
    <t>Availability to All Users</t>
  </si>
  <si>
    <t>Availability to Specific Users</t>
  </si>
  <si>
    <t>Availability to OU‡</t>
  </si>
  <si>
    <t>Availability OU Type</t>
  </si>
  <si>
    <t>Register Upon Approval</t>
  </si>
  <si>
    <t>Pre-Approved</t>
  </si>
  <si>
    <t>Includes Subordinates</t>
  </si>
  <si>
    <t>Curriculum Player</t>
  </si>
  <si>
    <t>Recurrence</t>
  </si>
  <si>
    <t>Thumbnail</t>
  </si>
  <si>
    <t>Image/Char</t>
  </si>
  <si>
    <t>Exclude from Course Recommendations</t>
  </si>
  <si>
    <t>Emails</t>
  </si>
  <si>
    <t>Enum</t>
  </si>
  <si>
    <t>No Email</t>
  </si>
  <si>
    <t>System Default,No Email</t>
  </si>
  <si>
    <t>Activity(ST)-Curriculum(CSOD)</t>
  </si>
  <si>
    <t>Mapping file name</t>
  </si>
  <si>
    <t>SumTotal Source File name</t>
  </si>
  <si>
    <t>For each Topic from the SumTotal file, look it up in the Description field of the CSODSubjectIDs table. If a match is found, use the corresponding SubjectID. If not found, default to 1382</t>
  </si>
  <si>
    <t>For each Language from the SumTotal file, look it up in the Language Code field of the CSODLanguages table. If a match is found, use the corresponding Language ID. If not found, default to 1</t>
  </si>
  <si>
    <t>Curriculum</t>
  </si>
  <si>
    <t>ActivityCode</t>
  </si>
  <si>
    <t>Section #*</t>
  </si>
  <si>
    <t>Integer</t>
  </si>
  <si>
    <t>Section Name*</t>
  </si>
  <si>
    <t>Current Section Name</t>
  </si>
  <si>
    <t>Child LO ID*</t>
  </si>
  <si>
    <t>Course Play Order</t>
  </si>
  <si>
    <t>Pay Upfront</t>
  </si>
  <si>
    <t>Pre Approve</t>
  </si>
  <si>
    <t>Auto Register</t>
  </si>
  <si>
    <t>Auto Launch</t>
  </si>
  <si>
    <t>Modified By</t>
  </si>
  <si>
    <t>Activity(ST)-CurriculumStructure(CSOD)</t>
  </si>
  <si>
    <t>Material ID*</t>
  </si>
  <si>
    <t>Material Title*</t>
  </si>
  <si>
    <t>Material Type ID*</t>
  </si>
  <si>
    <t>Document</t>
  </si>
  <si>
    <t>ActivityType</t>
  </si>
  <si>
    <t>Language</t>
  </si>
  <si>
    <t>Training Hours</t>
  </si>
  <si>
    <t>Time(0000:00:00),(HHHHHH:MM:SS)</t>
  </si>
  <si>
    <t>EstimatedDuration</t>
  </si>
  <si>
    <t>real</t>
  </si>
  <si>
    <t>Material Description</t>
  </si>
  <si>
    <t>ActivityDescription</t>
  </si>
  <si>
    <t>File Name</t>
  </si>
  <si>
    <t>URL</t>
  </si>
  <si>
    <t>https://www.antennahouse.com/hubfs/xsl-fo-sample/pdf/basic-link-1.pdf</t>
  </si>
  <si>
    <t>File Localization</t>
  </si>
  <si>
    <t>en-US</t>
  </si>
  <si>
    <t>Subject IDs</t>
  </si>
  <si>
    <t>Include Subordinates</t>
  </si>
  <si>
    <t>Mobile</t>
  </si>
  <si>
    <t>Credits</t>
  </si>
  <si>
    <t>EstimatedCredits</t>
  </si>
  <si>
    <t>float</t>
  </si>
  <si>
    <t>Training Purpose</t>
  </si>
  <si>
    <t>Points</t>
  </si>
  <si>
    <t>Badge</t>
  </si>
  <si>
    <t>System Default, No Email</t>
  </si>
  <si>
    <t>Document(ST)-Material(CSOD)</t>
  </si>
  <si>
    <t>Event ID</t>
  </si>
  <si>
    <t>ILTCourseCode</t>
  </si>
  <si>
    <t>Session ID*</t>
  </si>
  <si>
    <t>ClassCode</t>
  </si>
  <si>
    <t>Part Start Date/Time</t>
  </si>
  <si>
    <t>DateTime</t>
  </si>
  <si>
    <t>ClassStartDate</t>
  </si>
  <si>
    <t>Part End Date/Time</t>
  </si>
  <si>
    <t>ClassEndDate</t>
  </si>
  <si>
    <t>Part Break Duration</t>
  </si>
  <si>
    <t>Part Timezone</t>
  </si>
  <si>
    <t>TimeZone</t>
  </si>
  <si>
    <t>Display Times in TimeZone of User</t>
  </si>
  <si>
    <t>Part name</t>
  </si>
  <si>
    <t>ClassName</t>
  </si>
  <si>
    <t>Part Location</t>
  </si>
  <si>
    <t>Bldg_1_Room_102</t>
  </si>
  <si>
    <t>Location</t>
  </si>
  <si>
    <t>Part Instructor</t>
  </si>
  <si>
    <t>Instructor</t>
  </si>
  <si>
    <t>Session Status</t>
  </si>
  <si>
    <t>Approved</t>
  </si>
  <si>
    <t>Approved, Cancelled, Completed</t>
  </si>
  <si>
    <t>Cancellation Reason</t>
  </si>
  <si>
    <t>Cancellation Comment</t>
  </si>
  <si>
    <t>Vendor/Provider</t>
  </si>
  <si>
    <t>ILT Content</t>
  </si>
  <si>
    <t>Registration Deadline</t>
  </si>
  <si>
    <t>Registration Deadline - Before/After</t>
  </si>
  <si>
    <t>Before, After</t>
  </si>
  <si>
    <t>Allow waitlist for sessions</t>
  </si>
  <si>
    <t>Waitlist</t>
  </si>
  <si>
    <t>Allow Auto-Management of Waitlist‡</t>
  </si>
  <si>
    <t>Time based, First come first served, Off</t>
  </si>
  <si>
    <t>Auto-Register User upon Granting Waitlist‡</t>
  </si>
  <si>
    <t>Minimum Users</t>
  </si>
  <si>
    <t>Minimum</t>
  </si>
  <si>
    <t>Int</t>
  </si>
  <si>
    <t>Maximum Users</t>
  </si>
  <si>
    <t>Maximum</t>
  </si>
  <si>
    <t>Attendance Parts</t>
  </si>
  <si>
    <t>System Default, No Email, Event Setting</t>
  </si>
  <si>
    <t>Currency Code</t>
  </si>
  <si>
    <t>Price Per Session</t>
  </si>
  <si>
    <t>No-show Penalty – Monetary</t>
  </si>
  <si>
    <t>No-show Penalty – Training Units</t>
  </si>
  <si>
    <t>Restrict Withdraw from Session</t>
  </si>
  <si>
    <t>Refund Type</t>
  </si>
  <si>
    <t>Monetary, Training unit</t>
  </si>
  <si>
    <t>Refund Percentage‡</t>
  </si>
  <si>
    <t>Refund Amount‡</t>
  </si>
  <si>
    <t>Refund Number of Days prior to start‡</t>
  </si>
  <si>
    <t>Withdrawal Penalty Percentage</t>
  </si>
  <si>
    <t>Withdrawal Penalty Amount</t>
  </si>
  <si>
    <t>Penalty Number of Days prior to start</t>
  </si>
  <si>
    <t>Do not allow exception request</t>
  </si>
  <si>
    <t>Copy Availability from its Event</t>
  </si>
  <si>
    <t>Training Contact</t>
  </si>
  <si>
    <t>Training Units</t>
  </si>
  <si>
    <t>Default Training Unit Price</t>
  </si>
  <si>
    <t>Required Training Approvals</t>
  </si>
  <si>
    <t>Required Completion Approvals</t>
  </si>
  <si>
    <t>Request Form</t>
  </si>
  <si>
    <t>For each Timezone from the SumTotal file, look it up in the Time Zone Code field of the CSODTimezones table. If a match is found, use the corresponding Time Zone ID. If not found, default to 9</t>
  </si>
  <si>
    <t>ILTClass(ST)-Sessions(CSOD)</t>
  </si>
  <si>
    <t>ILTClass</t>
  </si>
  <si>
    <t>ILTCourse(ST)-Events(CSOD)</t>
  </si>
  <si>
    <t>Event ID*</t>
  </si>
  <si>
    <t>Event Name*</t>
  </si>
  <si>
    <t>Secondary Vendor/Provider</t>
  </si>
  <si>
    <t>Time based</t>
  </si>
  <si>
    <t>Time(HHHHHH:MM:SS)</t>
  </si>
  <si>
    <t>0000:00:00</t>
  </si>
  <si>
    <t>Event Description</t>
  </si>
  <si>
    <t>Objectives</t>
  </si>
  <si>
    <t>Competency IDs</t>
  </si>
  <si>
    <t>Competency</t>
  </si>
  <si>
    <t>Skills</t>
  </si>
  <si>
    <t>Allow Users to Attend Multiple Sessions </t>
  </si>
  <si>
    <t>Allow Interest Tracking</t>
  </si>
  <si>
    <t>ExpressIntrest</t>
  </si>
  <si>
    <t>Provide cost of Event</t>
  </si>
  <si>
    <t>USD</t>
  </si>
  <si>
    <t>Copy Availability to New Sessions</t>
  </si>
  <si>
    <t>Before</t>
  </si>
  <si>
    <t>Preferred Instructors</t>
  </si>
  <si>
    <t>Withdrawal  Penalty Amount</t>
  </si>
  <si>
    <t>Estimatedcredits</t>
  </si>
  <si>
    <t>Limit Users To One Waitlist Per Event</t>
  </si>
  <si>
    <t>Display Session Time In User Time</t>
  </si>
  <si>
    <t>Ability To Select Session</t>
  </si>
  <si>
    <t>Conversion Rate by Monetary Value</t>
  </si>
  <si>
    <t>ILTCourse</t>
  </si>
  <si>
    <t>language</t>
  </si>
  <si>
    <t>topic</t>
  </si>
  <si>
    <t>timezone</t>
  </si>
  <si>
    <t>ILTSessions(ST)-SessionParts(CSOD)</t>
  </si>
  <si>
    <t>Start Date/Time*</t>
  </si>
  <si>
    <t>SessionStartDate</t>
  </si>
  <si>
    <t>End Date/Time</t>
  </si>
  <si>
    <t>SessionEndDate</t>
  </si>
  <si>
    <t>Part Break</t>
  </si>
  <si>
    <t>Time Zone ID</t>
  </si>
  <si>
    <t>Part Name</t>
  </si>
  <si>
    <t>SessionName</t>
  </si>
  <si>
    <t>SessionDescription</t>
  </si>
  <si>
    <t>Bldg_2_Room_207</t>
  </si>
  <si>
    <t>SessionLocation</t>
  </si>
  <si>
    <t>SessionInstructor</t>
  </si>
  <si>
    <t>New Start Date/Time</t>
  </si>
  <si>
    <t>ILTSessions</t>
  </si>
  <si>
    <t>OnlineCourse(ST)-OnlineCourse(CSOD)</t>
  </si>
  <si>
    <t>Online Course ID*</t>
  </si>
  <si>
    <t>CourseCode</t>
  </si>
  <si>
    <t>Online Course Name*</t>
  </si>
  <si>
    <t>CourseName</t>
  </si>
  <si>
    <t>Online Course Description</t>
  </si>
  <si>
    <t>CourseDescription</t>
  </si>
  <si>
    <t>File Name*</t>
  </si>
  <si>
    <t>Time(0000:00:00)(HHHHHH:MM:SS)</t>
  </si>
  <si>
    <t>Height Screen Resolution</t>
  </si>
  <si>
    <t>Width Screen Resolution</t>
  </si>
  <si>
    <t>Available Offline - Allow download for offline consumption</t>
  </si>
  <si>
    <t>Available Offline - Allow launch from offline network location‡</t>
  </si>
  <si>
    <t>Allow Download</t>
  </si>
  <si>
    <t>Online Course</t>
  </si>
  <si>
    <t>QuickAssessment(ST)-Test(CSOD)</t>
  </si>
  <si>
    <t>Test ID*</t>
  </si>
  <si>
    <t>Test Title*</t>
  </si>
  <si>
    <t>Assessment</t>
  </si>
  <si>
    <t>Provider Type*</t>
  </si>
  <si>
    <t>Test Description</t>
  </si>
  <si>
    <t>Attempts Allowed</t>
  </si>
  <si>
    <t>View Test Score - Manager</t>
  </si>
  <si>
    <t>View Test Score - User</t>
  </si>
  <si>
    <t>Allow Test Review - Manager</t>
  </si>
  <si>
    <t>Allow Test Review - User</t>
  </si>
  <si>
    <t>AllowUserToReview</t>
  </si>
  <si>
    <t>Allow Review After Every Attempt</t>
  </si>
  <si>
    <t>Review Level</t>
  </si>
  <si>
    <t>Questions Only</t>
  </si>
  <si>
    <t>Lockout</t>
  </si>
  <si>
    <t>Lockout Type</t>
  </si>
  <si>
    <t>Lockout Duration</t>
  </si>
  <si>
    <t>Test Instructions</t>
  </si>
  <si>
    <t>Time Limit</t>
  </si>
  <si>
    <t>Passing Score Percentage</t>
  </si>
  <si>
    <t>MaxScore</t>
  </si>
  <si>
    <t>Early Exit</t>
  </si>
  <si>
    <t>Save any progress and return</t>
  </si>
  <si>
    <t>Randomize Sections</t>
  </si>
  <si>
    <t>Randomize Questions</t>
  </si>
  <si>
    <t>RandomiseQuestions</t>
  </si>
  <si>
    <t>Question Reference Number</t>
  </si>
  <si>
    <t>QuestionID</t>
  </si>
  <si>
    <t>QuickAssessment</t>
  </si>
  <si>
    <t>QuickAssessment(ST)-TestMapping(CSOD)</t>
  </si>
  <si>
    <t>Test ID</t>
  </si>
  <si>
    <t>Section Number</t>
  </si>
  <si>
    <t>Section Description</t>
  </si>
  <si>
    <t>Order Number</t>
  </si>
  <si>
    <t>Questions per Section Display</t>
  </si>
  <si>
    <t>Always Include Question</t>
  </si>
  <si>
    <t>IF Language == "en-US" THEN LanguageID = 1   ELSE IF Language == "en-GB" THEN LanguageID = 2   ELSE IF Language == "fr-FR" THEN LanguageID = 13   ELSE IF Language == "es-MX" THEN LanguageID = 14   ELSE LanguageID = 1</t>
  </si>
  <si>
    <t xml:space="preserve"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
ELSE </t>
  </si>
  <si>
    <t>IF Timezone == "MIT" THEN TimeZoneID = 1
ELSE IF Timezone == "MIT" THEN TimeZoneID = 2
ELSE IF Timezone == "HST" THEN TimeZoneID = 3
ELSE IF Timezone == "AKST" THEN TimeZoneID = 4
ELSE IF Timezone == "PST" THEN TimeZoneID = 5
ELSE IF Timezone == "PNT" THEN TimeZoneID = 6
ELSE IF Timezone == "MST" THEN TimeZoneID = 8
ELSE IF Timezone == "CST" THEN TimeZoneID = 9
ELSE IF Timezone == "CST" THEN TimeZoneID = 10
ELSE IF Timezone == "CST" THEN TimeZoneID = 12
ELSE IF Timezone == "COT" THEN TimeZoneID = 13
ELSE IF Timezone == "EST" THEN TimeZoneID = 14
ELSE IF Timezone == "IET" THEN TimeZoneID = 15
ELSE IF Timezone == "AST" THEN TimeZoneID = 16
ELSE IF Timezone == "PRT" THEN TimeZoneID = 17
ELSE IF Timezone == "PRT" THEN TimeZoneID = 18
ELSE IF Timezone == "CNT" THEN TimeZoneID = 19
ELSE IF Timezone == "BRT-BRST" THEN TimeZoneID = 20
ELSE IF Timezone == "AGT" THEN TimeZoneID = 21
ELSE IF Timezone == "AGT" THEN TimeZoneID = 22
ELSE IF Timezone == "AGT" THEN TimeZoneID = 23
ELSE IF Timezone == "AZOT" THEN TimeZoneID = 24
ELSE IF Timezone == "CVT" THEN TimeZoneID = 25
ELSE IF Timezone == "GMT" THEN TimeZoneID = 26
ELSE IF Timezone == "GMT" THEN TimeZoneID = 27
ELSE IF Timezone == "CET" THEN TimeZoneID = 28
ELSE IF Timezone == "CET" THEN TimeZoneID = 29
ELSE IF Timezone == "CET" THEN TimeZoneID = 30
ELSE IF Timezone == "CET" THEN TimeZoneID = 31
ELSE IF Timezone == "CET" THEN TimeZoneID = 32
ELSE IF Timezone == "EET" THEN TimeZoneID = 33
ELSE IF Timezone == "EET" THEN TimeZoneID = 34
ELSE IF Timezone == "EET" THEN TimeZoneID = 35
ELSE IF Timezone == "SAST" THEN TimeZoneID = 36
ELSE IF Timezone == "EET" THEN TimeZoneID = 37
ELSE IF Timezone == "IsraelST" THEN TimeZoneID = 38
ELSE IF Timezone == "EAT" THEN TimeZoneID = 39
ELSE IF Timezone == "EAT" THEN TimeZoneID = 40
ELSE IF Timezone == "MSK" THEN TimeZoneID = 41
ELSE IF Timezone == "EAT" THEN TimeZoneID = 42
ELSE IF Timezone == "MET" THEN TimeZoneID = 43
ELSE IF Timezone == "GST" THEN TimeZoneID = 44
ELSE IF Timezone == "NET" THEN TimeZoneID = 45
ELSE IF Timezone == "NET" THEN TimeZoneID = 46
ELSE IF Timezone == "YEKT" THEN TimeZoneID = 47
ELSE IF Timezone == "WAST" THEN TimeZoneID = 48
ELSE IF Timezone == "IST" THEN TimeZoneID = 49
ELSE IF Timezone == "NPT" THEN TimeZoneID = 50
ELSE IF Timezone == "NOVT" THEN TimeZoneID = 51
ELSE IF Timezone == "ALMT" THEN TimeZoneID = 52
ELSE IF Timezone == "IST" THEN TimeZoneID = 53
ELSE IF Timezone == "MMT" THEN TimeZoneID = 54
ELSE IF Timezone == "UTC+7" THEN TimeZoneID = 55
ELSE IF Timezone == "KRAT" THEN TimeZoneID = 56
ELSE IF Timezone == "CTT" THEN TimeZoneID = 57
ELSE IF Timezone == "IRKT" THEN TimeZoneID = 58
ELSE IF Timezone == "MYT" THEN TimeZoneID = 59
ELSE IF Timezone == "AWST" THEN TimeZoneID = 60
ELSE IF Timezone == "CST" THEN TimeZoneID = 61
ELSE IF Timezone == "JST" THEN TimeZoneID = 62
ELSE IF Timezone == "KST" THEN TimeZoneID = 63
ELSE IF Timezone == "YAKT" THEN TimeZoneID = 64
ELSE IF Timezone == "ACST" THEN TimeZoneID = 65
ELSE IF Timezone == "ACT" THEN TimeZoneID = 66
ELSE IF Timezone == "AEST" THEN TimeZoneID = 67
ELSE IF Timezone == "AET" THEN TimeZoneID = 68
ELSE IF Timezone == "ChST" THEN TimeZoneID = 69
ELSE IF Timezone == "AET" THEN TimeZoneID = 70
ELSE IF Timezone == "AET" THEN TimeZoneID = 71
ELSE IF Timezone == "SST" THEN TimeZoneID = 72
ELSE IF Timezone == "NZST" THEN TimeZoneID = 73
ELSE IF Timezone == "NST" THEN TimeZoneID = 74
ELSE IF Timezone == "NST" THEN TimeZoneID = 75
ELSE IF Timezone == "UTC-11" THEN TimeZoneID = 76
ELSE IF Timezone == "PST" THEN TimeZoneID = 77
ELSE IF Timezone == "MST" THEN TimeZoneID = 78
ELSE IF Timezone == "CDT" THEN TimeZoneID = 79
ELSE IF Timezone == "VET" THEN TimeZoneID = 80
ELSE IF Timezone == "PYT" THEN TimeZoneID = 81
ELSE IF Timezone == "AMT" THEN TimeZoneID = 82
ELSE IF Timezone == "ART" THEN TimeZoneID = 83
ELSE IF Timezone == "UYT" THEN TimeZoneID = 84
ELSE IF Timezone == "UTC-02" THEN TimeZoneID = 85
ELSE IF Timezone == "WET" THEN TimeZoneID = 86
ELSE IF Timezone == "UTC" THEN TimeZoneID = 87
ELSE IF Timezone == "AST" THEN TimeZoneID = 88
ELSE IF Timezone == "EEST" THEN TimeZoneID = 89
ELSE IF Timezone == "EEST" THEN TimeZoneID = 90
ELSE IF Timezone == "WAT" THEN TimeZoneID = 92
ELSE IF Timezone == "AZT" THEN TimeZoneID = 93
ELSE IF Timezone == "MUT" THEN TimeZoneID = 94
ELSE IF Timezone == "GET" THEN TimeZoneID = 95
ELSE IF Timezone == "PKT" THEN TimeZoneID = 97
ELSE IF Timezone == "BST" THEN TimeZoneID = 98
ELSE IF Timezone == "ULAT" THEN TimeZoneID = 100
ELSE IF Timezone == "UTC+12" THEN TimeZoneID = 101
ELSE IF Timezone == "PETT" THEN TimeZoneID = 102
ELSE IF Timezone == "BRT" THEN TimeZoneID = 103
ELSE IF Timezone == "EEST" THEN TimeZoneID = 104
ELSE IF Timezone == "EET" THEN TimeZoneID = 105
ELSE IF Timezone == "VLAT" THEN TimeZoneID = 106
ELSE IF Timezone == "SAMT" THEN TimeZoneID = 107
ELSE IF Timezone == "SRET" THEN TimeZoneID = 108
ELSE IF Timezone == "AST" THEN TimeZoneID = 109
ELSE IF Timezone == "WAT" THEN TimeZoneID = 110
ELSE IF Timezone == "GMT" THEN TimeZoneID = 111
ELSE IF Timezone == "SST" THEN TimeZoneID = 112
ELSE IF Timezone == "OMST" THEN TimeZoneID = 113
ELSE TimeZoneID = 9</t>
  </si>
  <si>
    <t>Audience(ST)-GroupsOU(CSOD)</t>
  </si>
  <si>
    <t>Core</t>
  </si>
  <si>
    <t>Audience</t>
  </si>
  <si>
    <t>OU ID*</t>
  </si>
  <si>
    <t>Audience Code</t>
  </si>
  <si>
    <t>OU Name*</t>
  </si>
  <si>
    <t>Audience Name</t>
  </si>
  <si>
    <t>Audience Active</t>
  </si>
  <si>
    <t>0 or 1</t>
  </si>
  <si>
    <t>Allow Reconciliation</t>
  </si>
  <si>
    <t>Audience Description</t>
  </si>
  <si>
    <t xml:space="preserve">nvarchar </t>
  </si>
  <si>
    <t>max</t>
  </si>
  <si>
    <t>Freeze Group Processing</t>
  </si>
  <si>
    <t>Domain(ST)-DivisionOU(CSOD)</t>
  </si>
  <si>
    <t>Domain</t>
  </si>
  <si>
    <t>Organization Code</t>
  </si>
  <si>
    <t>Organization Name</t>
  </si>
  <si>
    <t>Parent OrganizationCode</t>
  </si>
  <si>
    <t>Owner EmployeeId</t>
  </si>
  <si>
    <t>Organization Description(Note)</t>
  </si>
  <si>
    <t>Employee(ST)-Employee-CHR(CSOD)</t>
  </si>
  <si>
    <t>Effective Date</t>
  </si>
  <si>
    <t>Date and Time</t>
  </si>
  <si>
    <t>LastModifiedDate</t>
  </si>
  <si>
    <t>Reason for Change (accepted on modification)</t>
  </si>
  <si>
    <t>GUID</t>
  </si>
  <si>
    <t>Uuid</t>
  </si>
  <si>
    <t>PersonGuid</t>
  </si>
  <si>
    <t>User ID*</t>
  </si>
  <si>
    <t>PersonNumber</t>
  </si>
  <si>
    <t>Local System ID</t>
  </si>
  <si>
    <t>Prefix</t>
  </si>
  <si>
    <t>PrefixText</t>
  </si>
  <si>
    <t>First Name*</t>
  </si>
  <si>
    <t>FirstName</t>
  </si>
  <si>
    <t>Middle Name</t>
  </si>
  <si>
    <t>MiddleName</t>
  </si>
  <si>
    <t>Last Name*</t>
  </si>
  <si>
    <t>LastName</t>
  </si>
  <si>
    <t>Suffix</t>
  </si>
  <si>
    <t>SuffixText</t>
  </si>
  <si>
    <t>Username</t>
  </si>
  <si>
    <t>UserName</t>
  </si>
  <si>
    <t>Approver</t>
  </si>
  <si>
    <t>Manager</t>
  </si>
  <si>
    <t>ManagerID</t>
  </si>
  <si>
    <t>Absent</t>
  </si>
  <si>
    <t>boolean</t>
  </si>
  <si>
    <t>Active, InActive, 1, 0, y, n, yes, no, t, f, true, false, on, off</t>
  </si>
  <si>
    <t>Email</t>
  </si>
  <si>
    <t>Gender</t>
  </si>
  <si>
    <t>GENDER_TEXT</t>
  </si>
  <si>
    <t>Ethnicity</t>
  </si>
  <si>
    <t>ETHNICITY_TEXT</t>
  </si>
  <si>
    <t>Address Line 1</t>
  </si>
  <si>
    <t>Address1</t>
  </si>
  <si>
    <t>Address Line 2</t>
  </si>
  <si>
    <t>Address2</t>
  </si>
  <si>
    <t>StateName</t>
  </si>
  <si>
    <t>Mailstop</t>
  </si>
  <si>
    <t>Original Hire Date</t>
  </si>
  <si>
    <t>StartDate</t>
  </si>
  <si>
    <t>Last Hire Date</t>
  </si>
  <si>
    <t>Fax1</t>
  </si>
  <si>
    <t>Status</t>
  </si>
  <si>
    <t>smallint</t>
  </si>
  <si>
    <t>Personal Email</t>
  </si>
  <si>
    <t>Timezone</t>
  </si>
  <si>
    <t>User Type</t>
  </si>
  <si>
    <t>char</t>
  </si>
  <si>
    <t>Employee</t>
  </si>
  <si>
    <t>usercode</t>
  </si>
  <si>
    <t>Division*</t>
  </si>
  <si>
    <t>Primary Domain Name</t>
  </si>
  <si>
    <t>Position*</t>
  </si>
  <si>
    <t>FLASK110057</t>
  </si>
  <si>
    <t>Primary Job Name</t>
  </si>
  <si>
    <t>Grade</t>
  </si>
  <si>
    <t>Cost Center*</t>
  </si>
  <si>
    <t>Primary Organization Name</t>
  </si>
  <si>
    <t>Legal Entity</t>
  </si>
  <si>
    <t>HR Partner</t>
  </si>
  <si>
    <t>Job Date</t>
  </si>
  <si>
    <t>Primary Job JoiningDate</t>
  </si>
  <si>
    <t>Job(ST)-PositionOU(CSOD)</t>
  </si>
  <si>
    <t>Jobs</t>
  </si>
  <si>
    <t>JOB_CODE</t>
  </si>
  <si>
    <t>JOB_NAME</t>
  </si>
  <si>
    <t>created By EmployeeID</t>
  </si>
  <si>
    <t>JOB_DESC</t>
  </si>
  <si>
    <t>Plan Owner OU ID</t>
  </si>
  <si>
    <t>Organization(ST)-CostCenterOU(CSOD)</t>
  </si>
  <si>
    <t>Approver ID</t>
  </si>
  <si>
    <t>Organization</t>
  </si>
  <si>
    <t>Instructor(ST)-Instructor(CSOD)</t>
  </si>
  <si>
    <t>Instructor ID*</t>
  </si>
  <si>
    <t>EmployeeId</t>
  </si>
  <si>
    <t>ProviderName</t>
  </si>
  <si>
    <t>EmployeeActive</t>
  </si>
  <si>
    <t>Home Location</t>
  </si>
  <si>
    <t>Internal/External*</t>
  </si>
  <si>
    <t>Internal</t>
  </si>
  <si>
    <t>First Name</t>
  </si>
  <si>
    <t>Last Name</t>
  </si>
  <si>
    <t>Languages Spoken</t>
  </si>
  <si>
    <t>Education</t>
  </si>
  <si>
    <t>Biography</t>
  </si>
  <si>
    <t>Certifications</t>
  </si>
  <si>
    <t>Prerequisites</t>
  </si>
  <si>
    <t>LibraryTopic(ST)-Subject(CSOD)</t>
  </si>
  <si>
    <t>Subject Ref</t>
  </si>
  <si>
    <t>Topic Code</t>
  </si>
  <si>
    <t>Parent Subject Ref</t>
  </si>
  <si>
    <t>Parent topic code</t>
  </si>
  <si>
    <t>Title</t>
  </si>
  <si>
    <t>TopicName</t>
  </si>
  <si>
    <t>Subject</t>
  </si>
  <si>
    <t>Provider(CSOD)</t>
  </si>
  <si>
    <t>Provider Name*</t>
  </si>
  <si>
    <t>VendorName</t>
  </si>
  <si>
    <t>ONLINE, ILT</t>
  </si>
  <si>
    <t>Provider Type</t>
  </si>
  <si>
    <t>ZIP</t>
  </si>
  <si>
    <t>State/Province</t>
  </si>
  <si>
    <t>Contact Name</t>
  </si>
  <si>
    <t>Phone number</t>
  </si>
  <si>
    <t>Fax number</t>
  </si>
  <si>
    <t>Url</t>
  </si>
  <si>
    <t>QuestionBanks(ST)-QuestionCategories(CSOD)</t>
  </si>
  <si>
    <t>Category Ref*</t>
  </si>
  <si>
    <t>QuestionBankCode</t>
  </si>
  <si>
    <t>Category Name*</t>
  </si>
  <si>
    <t>QuestionBankName</t>
  </si>
  <si>
    <t>Parent Category Ref</t>
  </si>
  <si>
    <t>QuestionBanks</t>
  </si>
  <si>
    <t>Questions(ST)-Questions(CSOD)</t>
  </si>
  <si>
    <t>Question Reference Number*</t>
  </si>
  <si>
    <t>Question Text*</t>
  </si>
  <si>
    <t>Questiontext</t>
  </si>
  <si>
    <t>Question Type*</t>
  </si>
  <si>
    <t>Questiontype</t>
  </si>
  <si>
    <t>Correct Answer</t>
  </si>
  <si>
    <t>Randomize Answer Choices</t>
  </si>
  <si>
    <t>Answer Explanation</t>
  </si>
  <si>
    <t># of Answer Choices</t>
  </si>
  <si>
    <t>All of the Above</t>
  </si>
  <si>
    <t>None of the Above</t>
  </si>
  <si>
    <t>Answer 1</t>
  </si>
  <si>
    <t>Answer 2</t>
  </si>
  <si>
    <t>Answer 3</t>
  </si>
  <si>
    <t>Answer 4</t>
  </si>
  <si>
    <t>Answer 5</t>
  </si>
  <si>
    <t>Answer 6</t>
  </si>
  <si>
    <t>Answer 7</t>
  </si>
  <si>
    <t>Answer 8</t>
  </si>
  <si>
    <t>Answer 9</t>
  </si>
  <si>
    <t>Answer 10</t>
  </si>
  <si>
    <t>Image Filename</t>
  </si>
  <si>
    <t>Answer Coordinates</t>
  </si>
  <si>
    <t>Apply partial scoring</t>
  </si>
  <si>
    <t>Author</t>
  </si>
  <si>
    <t>Question</t>
  </si>
  <si>
    <t>CurriculumRoster(ST)-CurriculumTranscript(CSOD)</t>
  </si>
  <si>
    <t>EmployeeID</t>
  </si>
  <si>
    <t>Transcript Status*</t>
  </si>
  <si>
    <t>Training Status</t>
  </si>
  <si>
    <t>Request Date/Time*</t>
  </si>
  <si>
    <t>RegistrationDate</t>
  </si>
  <si>
    <t>Registration Date/Time*</t>
  </si>
  <si>
    <t>Transcript Action</t>
  </si>
  <si>
    <t>Create, Update</t>
  </si>
  <si>
    <t>Completion Date/Time</t>
  </si>
  <si>
    <t>CompletionDate</t>
  </si>
  <si>
    <t>Due Date/Time‡</t>
  </si>
  <si>
    <t>DueDate</t>
  </si>
  <si>
    <t>Archived</t>
  </si>
  <si>
    <t>User Exempt Reason</t>
  </si>
  <si>
    <t>Approver Exempt Reason</t>
  </si>
  <si>
    <t>User's Exemption Comments</t>
  </si>
  <si>
    <t>Approver's Exemption Comments</t>
  </si>
  <si>
    <t>Exempt By</t>
  </si>
  <si>
    <t>Comments</t>
  </si>
  <si>
    <t>Note</t>
  </si>
  <si>
    <t>Training Points</t>
  </si>
  <si>
    <t>Apply, Delete</t>
  </si>
  <si>
    <t>Training Badge</t>
  </si>
  <si>
    <t>Transcript</t>
  </si>
  <si>
    <t>DocumentRoster(ST)-MaterialTranscript(CSOD)</t>
  </si>
  <si>
    <t>TrainingStatus</t>
  </si>
  <si>
    <t>Due Date Action type</t>
  </si>
  <si>
    <t>Notes</t>
  </si>
  <si>
    <t>ILTCLassRoster(ST)-SessionTranscript(CSOD)</t>
  </si>
  <si>
    <t>Transcript Status</t>
  </si>
  <si>
    <t>Score</t>
  </si>
  <si>
    <t>decimal(20,4)</t>
  </si>
  <si>
    <t>Pass/Fail</t>
  </si>
  <si>
    <t>Pass</t>
  </si>
  <si>
    <t>Fail, Pass</t>
  </si>
  <si>
    <t>Success</t>
  </si>
  <si>
    <t>Request Date/Time</t>
  </si>
  <si>
    <t>Registration Date/Time</t>
  </si>
  <si>
    <t>CompleteionDate</t>
  </si>
  <si>
    <t>ILT Class</t>
  </si>
  <si>
    <t>OCRoster(ST)-OnlineCourse(CSOD)</t>
  </si>
  <si>
    <t>QuickAssessmentRoster(ST)-TestTranscript(CSOD)</t>
  </si>
  <si>
    <t>Update ONLY for this transcript</t>
  </si>
  <si>
    <t>IF Country == "Aruba" THEN ThreeLetterCode = "ABW"
ELSE IF Country == "Afghanistan" THEN ThreeLetterCode = "AFG"
ELSE IF Country == "Angola" THEN ThreeLetterCode = "AGO"
ELSE IF Country == "Anguilla" THEN ThreeLetterCode = "AIA"
ELSE IF Country == "Åland Islands" THEN ThreeLetterCode = "ALA"
ELSE IF Country == "Albania" THEN ThreeLetterCode = "ALB"
ELSE IF Country == "Andorra" THEN ThreeLetterCode = "AND"
ELSE IF Country == "Netherlands Antilles" THEN ThreeLetterCode = "ANT"
ELSE IF Country == "United Arab Emirates" THEN ThreeLetterCode = "ARE"
ELSE IF Country == "Argentina" THEN ThreeLetterCode = "ARG"
ELSE IF Country == "Armenia" THEN ThreeLetterCode = "ARM"
ELSE IF Country == "American Samoa" THEN ThreeLetterCode = "ASM"
ELSE IF Country == "Antarctica" THEN ThreeLetterCode = "ATA"
ELSE IF Country == "French Southern Territories" THEN ThreeLetterCode = "ATF"
ELSE IF Country == "Antigua and Barbuda" THEN ThreeLetterCode = "ATG"
ELSE IF Country == "Australia" THEN ThreeLetterCode = "AUS"
ELSE IF Country == "Austria" THEN ThreeLetterCode = "AUT"
ELSE IF Country == "Azerbaijan" THEN ThreeLetterCode = "AZE"
ELSE IF Country == "Burundi" THEN ThreeLetterCode = "BDI"
ELSE IF Country == "Belgium" THEN ThreeLetterCode = "BEL"
ELSE IF Country == "Benin" THEN ThreeLetterCode = "BEN"
ELSE IF Country == "Bonaire, Sint Eustatius and Saba" THEN ThreeLetterCode = "BES"
ELSE IF Country == "Burkina Faso" THEN ThreeLetterCode = "BFA"
ELSE IF Country == "Bangladesh" THEN ThreeLetterCode = "BGD"
ELSE IF Country == "Bulgaria" THEN ThreeLetterCode = "BGR"
ELSE IF Country == "Bahrain" THEN ThreeLetterCode = "BHR"
ELSE IF Country == "Bahamas" THEN ThreeLetterCode = "BHS"
ELSE IF Country == "Bosnia and Herzegovina" THEN ThreeLetterCode = "BIH"
ELSE IF Country == "Saint Barthélemy" THEN ThreeLetterCode = "BLM"
ELSE IF Country == "Belarus" THEN ThreeLetterCode = "BLR"
ELSE IF Country == "Belize" THEN ThreeLetterCode = "BLZ"
ELSE IF Country == "Bermuda" THEN ThreeLetterCode = "BMU"
ELSE IF Country == "Bolivia, Plurinational State of" THEN ThreeLetterCode = "BOL"
ELSE IF Country == "Brazil" THEN ThreeLetterCode = "BRA"
ELSE IF Country == "Barbados" THEN ThreeLetterCode = "BRB"
ELSE IF Country == "Brunei Darussalam" THEN ThreeLetterCode = "BRN"
ELSE IF Country == "Bhutan" THEN ThreeLetterCode = "BTN"
ELSE IF Country == "Bouvet Island" THEN ThreeLetterCode = "BVT"
ELSE IF Country == "Botswana" THEN ThreeLetterCode = "BWA"
ELSE IF Country == "Central African Republic" THEN ThreeLetterCode = "CAF"
ELSE IF Country == "Canada" THEN ThreeLetterCode = "CAN"
ELSE IF Country == "Cocos (Keeling) Islands" THEN ThreeLetterCode = "CCK"
ELSE IF Country == "Switzerland" THEN ThreeLetterCode = "CHE"
ELSE IF Country == "Chile" THEN ThreeLetterCode = "CHL"
ELSE IF Country == "China" THEN ThreeLetterCode = "CHN"
ELSE IF Country == "Côte d'Ivoire" THEN ThreeLetterCode = "CIV"
ELSE IF Country == "Cameroon" THEN ThreeLetterCode = "CMR"
ELSE IF Country == "Congo, the Democratic Republic of the" THEN ThreeLetterCode = "COD"
ELSE IF Country == "Congo" THEN ThreeLetterCode = "COG"
ELSE IF Country == "Cook Islands" THEN ThreeLetterCode = "COK"
ELSE IF Country == "Colombia" THEN ThreeLetterCode = "COL"
ELSE IF Country == "Comoros" THEN ThreeLetterCode = "COM"
ELSE IF Country == "Cape Verde" THEN ThreeLetterCode = "CPV"
ELSE IF Country == "Costa Rica" THEN ThreeLetterCode = "CRI"
ELSE IF Country == "Cuba" THEN ThreeLetterCode = "CUB"
ELSE IF Country == "Curaçao" THEN ThreeLetterCode = "CUW"
ELSE IF Country == "Christmas Island" THEN ThreeLetterCode = "CXR"
ELSE IF Country == "Cayman Islands" THEN ThreeLetterCode = "CYM"
ELSE IF Country == "Cyprus" THEN ThreeLetterCode = "CYP"
ELSE IF Country == "Czech Republic" THEN ThreeLetterCode = "CZE"
ELSE IF Country == "Germany" THEN ThreeLetterCode = "DEU"
ELSE IF Country == "Djibouti" THEN ThreeLetterCode = "DJI"
ELSE IF Country == "Dominica" THEN ThreeLetterCode = "DMA"
ELSE IF Country == "Denmark" THEN ThreeLetterCode = "DNK"
ELSE IF Country == "Dominican Republic" THEN ThreeLetterCode = "DOM"
ELSE IF Country == "Algeria" THEN ThreeLetterCode = "DZA"
ELSE IF Country == "Ecuador" THEN ThreeLetterCode = "ECU"
ELSE IF Country == "Egypt" THEN ThreeLetterCode = "EGY"
ELSE IF Country == "Eritrea" THEN ThreeLetterCode = "ERI"
ELSE IF Country == "Western Sahara" THEN ThreeLetterCode = "ESH"
ELSE IF Country == "Spain" THEN ThreeLetterCode = "ESP"
ELSE IF Country == "Estonia" THEN ThreeLetterCode = "EST"
ELSE IF Country == "Ethiopia" THEN ThreeLetterCode = "ETH"
ELSE IF Country == "Finland" THEN ThreeLetterCode = "FIN"
ELSE IF Country == "Fiji" THEN ThreeLetterCode = "FJI"
ELSE IF Country == "Falkland Islands (Malvinas)" THEN ThreeLetterCode = "FLK"
ELSE IF Country == "France" THEN ThreeLetterCode = "FRA"
ELSE IF Country == "Faroe Islands" THEN ThreeLetterCode = "FRO"
ELSE IF Country == "Micronesia, Federated States of" THEN ThreeLetterCode = "FSM"
ELSE IF Country == "Gabon" THEN ThreeLetterCode = "GAB"
ELSE IF Country == "United Kingdom" THEN ThreeLetterCode = "GBR"
ELSE IF Country == "Georgia" THEN ThreeLetterCode = "GEO"
ELSE IF Country == "Guernsey" THEN ThreeLetterCode = "GGY"
ELSE IF Country == "Ghana" THEN ThreeLetterCode = "GHA"
ELSE IF Country == "Gibraltar" THEN ThreeLetterCode = "GIB"
ELSE IF Country == "Guinea" THEN ThreeLetterCode = "GIN"
ELSE IF Country == "Guadeloupe" THEN ThreeLetterCode = "GLP"
ELSE IF Country == "Gambia" THEN ThreeLetterCode = "GMB"
ELSE IF Country == "Guinea-Bissau" THEN ThreeLetterCode = "GNB"
ELSE IF Country == "Equatorial Guinea" THEN ThreeLetterCode = "GNQ"
ELSE IF Country == "Greece" THEN ThreeLetterCode = "GRC"
ELSE IF Country == "Grenada" THEN ThreeLetterCode = "GRD"
ELSE IF Country == "Greenland" THEN ThreeLetterCode = "GRL"
ELSE IF Country == "Guatemala" THEN ThreeLetterCode = "GTM"
ELSE IF Country == "French Guiana" THEN ThreeLetterCode = "GUF"
ELSE IF Country == "Guam" THEN ThreeLetterCode = "GUM"
ELSE IF Country == "Guyana" THEN ThreeLetterCode = "GUY"
ELSE IF Country == "Hong Kong" THEN ThreeLetterCode = "HKG"
ELSE IF Country == "Heard Island and McDonald Islands" THEN ThreeLetterCode = "HMD"
ELSE IF Country == "Honduras" THEN ThreeLetterCode = "HND"
ELSE IF Country == "Croatia" THEN ThreeLetterCode = "HRV"
ELSE IF Country == "Haiti" THEN ThreeLetterCode = "HTI"
ELSE IF Country == "Hungary" THEN ThreeLetterCode = "HUN"
ELSE IF Country == "Indonesia" THEN ThreeLetterCode = "IDN"
ELSE IF Country == "Isle of Man" THEN ThreeLetterCode = "IMN"
ELSE IF Country == "India" THEN ThreeLetterCode = "IND"
ELSE IF Country == "British Indian Ocean Territory" THEN ThreeLetterCode = "IOT"
ELSE IF Country == "Ireland" THEN ThreeLetterCode = "IRL"
ELSE IF Country == "Iran, Islamic Republic of" THEN ThreeLetterCode = "IRN"
ELSE IF Country == "Iraq" THEN ThreeLetterCode = "IRQ"
ELSE IF Country == "Iceland" THEN ThreeLetterCode = "ISL"
ELSE IF Country == "Israel" THEN ThreeLetterCode = "ISR"
ELSE IF Country == "Italy" THEN ThreeLetterCode = "ITA"
ELSE IF Country == "Jamaica" THEN ThreeLetterCode = "JAM"
ELSE IF Country == "Jersey" THEN ThreeLetterCode = "JEY"
ELSE IF Country == "Jordan" THEN ThreeLetterCode = "JOR"
ELSE IF Country == "Japan" THEN ThreeLetterCode = "JPN"
ELSE IF Country == "Kazakhstan" THEN ThreeLetterCode = "KAZ"
ELSE IF Country == "Kenya" THEN ThreeLetterCode = "KEN"
ELSE IF Country == "Kyrgyzstan" THEN ThreeLetterCode = "KGZ"
ELSE IF Country == "Cambodia" THEN ThreeLetterCode = "KHM"
ELSE IF Country == "Kiribati" THEN ThreeLetterCode = "KIR"
ELSE IF Country == "Saint Kitts and Nevis" THEN ThreeLetterCode = "KNA"
ELSE IF Country == "Korea, Republic of" THEN ThreeLetterCode = "KOR"
ELSE IF Country == "Kuwait" THEN ThreeLetterCode = "KWT"
ELSE IF Country == "Lao People's Democratic Republic" THEN ThreeLetterCode = "LAO"
ELSE IF Country == "Lebanon" THEN ThreeLetterCode = "LBN"
ELSE IF Country == "Liberia" THEN ThreeLetterCode = "LBR"
ELSE IF Country == "Libya" THEN ThreeLetterCode = "LBY"
ELSE IF Country == "Saint Lucia" THEN ThreeLetterCode = "LCA"
ELSE IF Country == "Liechtenstein" THEN ThreeLetterCode = "LIE"
ELSE IF Country == "Sri Lanka" THEN ThreeLetterCode = "LKA"
ELSE IF Country == "Lesotho" THEN ThreeLetterCode = "LSO"
ELSE IF Country == "Lithuania" THEN ThreeLetterCode = "LTU"
ELSE IF Country == "Luxembourg" THEN ThreeLetterCode = "LUX"
ELSE IF Country == "Latvia" THEN ThreeLetterCode = "LVA"
ELSE IF Country == "Macao" THEN ThreeLetterCode = "MAC"
ELSE IF Country == "Saint Martin (French part)" THEN ThreeLetterCode = "MAF"
ELSE IF Country == "Morocco" THEN ThreeLetterCode = "MAR"
ELSE IF Country == "Monaco" THEN ThreeLetterCode = "MCO"
ELSE IF Country == "Moldova, Republic of" THEN ThreeLetterCode = "MDA"
ELSE IF Country == "Madagascar" THEN ThreeLetterCode = "MDG"
ELSE IF Country == "Maldives" THEN ThreeLetterCode = "MDV"
ELSE IF Country == "Mexico" THEN ThreeLetterCode = "MEX"
ELSE IF Country == "Marshall Islands" THEN ThreeLetterCode = "MHL"
ELSE IF Country == "North Macedonia" THEN ThreeLetterCode = "MKD"
ELSE IF Country == "Mali" THEN ThreeLetterCode = "MLI"
ELSE IF Country == "Malta" THEN ThreeLetterCode = "MLT"
ELSE IF Country == "Myanmar" THEN ThreeLetterCode = "MMR"
ELSE IF Country == "Montenegro" THEN ThreeLetterCode = "MNE"
ELSE IF Country == "Mongolia" THEN ThreeLetterCode = "MNG"
ELSE IF Country == "Northern Mariana Islands" THEN ThreeLetterCode = "MNP"
ELSE IF Country == "Mozambique" THEN ThreeLetterCode = "MOZ"
ELSE IF Country == "Mauritania" THEN ThreeLetterCode = "MRT"
ELSE IF Country == "Montserrat" THEN ThreeLetterCode = "MSR"
ELSE IF Country == "Martinique" THEN ThreeLetterCode = "MTQ"
ELSE IF Country == "Mauritius" THEN ThreeLetterCode = "MUS"
ELSE IF Country == "Malawi" THEN ThreeLetterCode = "MWI"
ELSE IF Country == "Malaysia" THEN ThreeLetterCode = "MYS"
ELSE IF Country == "Mayotte" THEN ThreeLetterCode = "MYT"
ELSE IF Country == "Namibia" THEN ThreeLetterCode = "NAM"
ELSE IF Country == "New Caledonia" THEN ThreeLetterCode = "NCL"
ELSE IF Country == "Niger" THEN ThreeLetterCode = "NER"
ELSE IF Country == "Norfolk Island" THEN ThreeLetterCode = "NFK"
ELSE IF Country == "Nigeria" THEN ThreeLetterCode = "NGA"
ELSE IF Country == "Nicaragua" THEN ThreeLetterCode = "NIC"
ELSE IF Country == "Niue" THEN ThreeLetterCode = "NIU"
ELSE IF Country == "Netherlands" THEN ThreeLetterCode = "NLD"
ELSE IF Country == "Norway" THEN ThreeLetterCode = "NOR"
ELSE IF Country == "Nepal" THEN ThreeLetterCode = "NPL"
ELSE IF Country == "Nauru" THEN ThreeLetterCode = "NRU"
ELSE IF Country == "New Zealand" THEN ThreeLetterCode = "NZL"
ELSE IF Country == "Oman" THEN ThreeLetterCode = "OMN"
ELSE IF Country == "Pakistan" THEN ThreeLetterCode = "PAK"
ELSE IF Country == "Panama" THEN ThreeLetterCode = "PAN"
ELSE IF Country == "Pitcairn" THEN ThreeLetterCode = "PCN"
ELSE IF Country == "Peru" THEN ThreeLetterCode = "PER"
ELSE IF Country == "Philippines" THEN ThreeLetterCode = "PHL"
ELSE IF Country == "Palau" THEN ThreeLetterCode = "PLW"
ELSE IF Country == "Papua New Guinea" THEN ThreeLetterCode = "PNG"
ELSE IF Country == "Poland" THEN ThreeLetterCode = "POL"
ELSE IF Country == "Puerto Rico" THEN ThreeLetterCode = "PRI"
ELSE IF Country == "Korea, Democratic People's Republic of" THEN ThreeLetterCode = "PRK"
ELSE IF Country == "Portugal" THEN ThreeLetterCode = "PRT"
ELSE IF Country == "Paraguay" THEN ThreeLetterCode = "PRY"
ELSE IF Country == "Palestine, State of" THEN ThreeLetterCode = "PSE"
ELSE IF Country == "French Polynesia" THEN ThreeLetterCode = "PYF"
ELSE IF Country == "Qatar" THEN ThreeLetterCode = "QAT"
ELSE IF Country == "Réunion" THEN ThreeLetterCode = "REU"
ELSE IF Country == "Romania" THEN ThreeLetterCode = "ROU"
ELSE IF Country == "Russian Federation" THEN ThreeLetterCode = "RUS"
ELSE IF Country == "Rwanda" THEN ThreeLetterCode = "RWA"
ELSE IF Country == "Saudi Arabia" THEN ThreeLetterCode = "SAU"
ELSE IF Country == "Sudan" THEN ThreeLetterCode = "SDN"
ELSE IF Country == "Senegal" THEN ThreeLetterCode = "SEN"
ELSE IF Country == "Singapore" THEN ThreeLetterCode = "SGP"
ELSE IF Country == "South Georgia and the South Sandwich Islands" THEN ThreeLetterCode = "SGS"
ELSE IF Country == "Saint Helena, Ascension and Tristan Da Cunha" THEN ThreeLetterCode = "SHN"
ELSE IF Country == "Svalbard and Jan Mayen" THEN ThreeLetterCode = "SJM"
ELSE IF Country == "Solomon Islands" THEN ThreeLetterCode = "SLB"
ELSE IF Country == "Sierra Leone" THEN ThreeLetterCode = "SLE"
ELSE IF Country == "El Salvador" THEN ThreeLetterCode = "SLV"
ELSE IF Country == "San Marino" THEN ThreeLetterCode = "SMR"
ELSE IF Country == "Somalia" THEN ThreeLetterCode = "SOM"
ELSE IF Country == "Saint Pierre and Miquelon" THEN ThreeLetterCode = "SPM"
ELSE IF Country == "Serbia" THEN ThreeLetterCode = "SRB"
ELSE IF Country == "Sao Tome and Principe" THEN ThreeLetterCode = "STP"
ELSE IF Country == "Suriname" THEN ThreeLetterCode = "SUR"
ELSE IF Country == "Slovakia" THEN ThreeLetterCode = "SVK"
ELSE IF Country == "Slovenia" THEN ThreeLetterCode = "SVN"
ELSE IF Country == "Sweden" THEN ThreeLetterCode = "SWE"
ELSE IF Country == "Eswatini" THEN ThreeLetterCode = "SWZ"
ELSE IF Country == "Sint Maarten (Dutch part)" THEN ThreeLetterCode = "SXM"
ELSE IF Country == "Seychelles" THEN ThreeLetterCode = "SYC"
ELSE IF Country == "Syrian Arab Republic" THEN ThreeLetterCode = "SYR"
ELSE IF Country == "Turks and Caicos Islands" THEN ThreeLetterCode = "TCA"
ELSE IF Country == "Chad" THEN ThreeLetterCode = "TCD"
ELSE IF Country == "Togo" THEN ThreeLetterCode = "TGO"
ELSE IF Country == "Thailand" THEN ThreeLetterCode = "THA"
ELSE IF Country == "Tajikistan" THEN ThreeLetterCode = "TJK"
ELSE IF Country == "Tokelau" THEN ThreeLetterCode = "TKL"
ELSE IF Country == "Turkmenistan" THEN ThreeLetterCode = "TKM"
ELSE IF Country == "Timor-Leste" THEN ThreeLetterCode = "TLS"
ELSE IF Country == "Tonga" THEN ThreeLetterCode = "TON"
ELSE IF Country == "Trinidad and Tobago" THEN ThreeLetterCode = "TTO"
ELSE IF Country == "Tunisia" THEN ThreeLetterCode = "TUN"
ELSE IF Country == "Türkiye" THEN ThreeLetterCode = "TUR"
ELSE IF Country == "Tuvalu" THEN ThreeLetterCode = "TUV"
ELSE IF Country == "Taiwan" THEN ThreeLetterCode = "TWN"
ELSE IF Country == "Tanzania, United Republic of" THEN ThreeLetterCode = "TZA"
ELSE IF Country == "Uganda" THEN ThreeLetterCode = "UGA"
ELSE IF Country == "Ukraine" THEN ThreeLetterCode = "UKR"
ELSE IF Country == "United States Minor Outlying Islands" THEN ThreeLetterCode = "UMI"
ELSE IF Country == "Uruguay" THEN ThreeLetterCode = "URY"
ELSE IF Country == "United States" THEN ThreeLetterCode = "USA"
ELSE IF Country == "Uzbekistan" THEN ThreeLetterCode = "UZB"
ELSE IF Country == "Holy See (Vatican City State)" THEN ThreeLetterCode = "VAT"
ELSE IF Country == "Saint Vincent and the Grenadines" THEN ThreeLetterCode = "VCT"
ELSE IF Country == "Venezuela, Bolivarian Republic of" THEN ThreeLetterCode = "VEN"
ELSE IF Country == "Virgin Islands, British" THEN ThreeLetterCode = "VGB"
ELSE IF Country == "Virgin Islands, U.S." THEN ThreeLetterCode = "VIR"
ELSE IF Country == "Vietnam" THEN ThreeLetterCode = "VNM"
ELSE IF Country == "Vanuatu" THEN ThreeLetterCode = "VUT"
ELSE IF Country == "Wallis and Futuna" THEN ThreeLetterCode = "WLF"
ELSE IF Country == "Samoa" THEN ThreeLetterCode = "WSM"
ELSE IF Country == "Yemen" THEN ThreeLetterCode = "YEM"
ELSE IF Country == "South Africa" THEN ThreeLetterCode = "ZAF"
ELSE IF Country == "Zambia" THEN ThreeLetterCode = "ZMB"
ELSE IF Country == "Zimbabwe" THEN ThreeLetterCode = "ZWE"
ELSE IF Country == "South Sudan" THEN ThreeLetterCode = "SSD"
ELSE IF Country == "Kosovo" THEN ThreeLetterCode = "XKX"
ELSE ThreeLetterCode = "USA"</t>
  </si>
  <si>
    <t>For each Country from the SumTotal file, look it up in the Country field of the CSODCountries table. If a match is found, use the corresponding Three Letter Country Code. If not found, default to USA</t>
  </si>
  <si>
    <t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</t>
  </si>
  <si>
    <t>ActivityActivity(ST)-CurriculumStructure(CSOD)Curriculum ID*</t>
  </si>
  <si>
    <t>ActivityActivity(ST)-CurriculumStructure(CSOD)Child LO ID*</t>
  </si>
  <si>
    <t>ActivityActivity(ST)-CurriculumStructure(CSOD)Auto Launch</t>
  </si>
  <si>
    <t>ActivityActivity(ST)-CurriculumStructure(CSOD)Auto Register</t>
  </si>
  <si>
    <t>ActivityActivity(ST)-CurriculumStructure(CSOD)Course Play Order</t>
  </si>
  <si>
    <t>ActivityActivity(ST)-CurriculumStructure(CSOD)Modified By</t>
  </si>
  <si>
    <t>ActivityActivity(ST)-CurriculumStructure(CSOD)Pay Upfront</t>
  </si>
  <si>
    <t>ActivityActivity(ST)-CurriculumStructure(CSOD)Pre Approve</t>
  </si>
  <si>
    <t>ActivityActivity(ST)-CurriculumStructure(CSOD)Section #*</t>
  </si>
  <si>
    <t>ActivityActivity(ST)-CurriculumStructure(CSOD)Section Name*</t>
  </si>
  <si>
    <t>ActivityDocument(ST)-Material(CSOD)Active</t>
  </si>
  <si>
    <t>ActivityDocument(ST)-Material(CSOD)Material ID*</t>
  </si>
  <si>
    <t>ActivityDocument(ST)-Material(CSOD)Material Description</t>
  </si>
  <si>
    <t>ActivityDocument(ST)-Material(CSOD)Material Title*</t>
  </si>
  <si>
    <t>ActivityDocument(ST)-Material(CSOD)Material Type ID*</t>
  </si>
  <si>
    <t>ActivityDocument(ST)-Material(CSOD)Credits</t>
  </si>
  <si>
    <t>ActivityDocument(ST)-Material(CSOD)Training Hours</t>
  </si>
  <si>
    <t>ActivityDocument(ST)-Material(CSOD)Default Language</t>
  </si>
  <si>
    <t>ActivityDocument(ST)-Material(CSOD)Vendor/Provider*</t>
  </si>
  <si>
    <t>ActivityDocument(ST)-Material(CSOD)Subject IDs</t>
  </si>
  <si>
    <t>ActivityDocument(ST)-Material(CSOD)Availability OU Type</t>
  </si>
  <si>
    <t>ActivityDocument(ST)-Material(CSOD)Availability to All Users</t>
  </si>
  <si>
    <t>ActivityDocument(ST)-Material(CSOD)Availability to OU‡</t>
  </si>
  <si>
    <t>ActivityDocument(ST)-Material(CSOD)Availability to Specific Users</t>
  </si>
  <si>
    <t>ActivityDocument(ST)-Material(CSOD)Available Languages</t>
  </si>
  <si>
    <t>ActivityDocument(ST)-Material(CSOD)Badge</t>
  </si>
  <si>
    <t>ActivityDocument(ST)-Material(CSOD)Created/Modified By</t>
  </si>
  <si>
    <t>ActivityDocument(ST)-Material(CSOD)Emails</t>
  </si>
  <si>
    <t>ActivityDocument(ST)-Material(CSOD)Exclude from Course Recommendations</t>
  </si>
  <si>
    <t>ActivityDocument(ST)-Material(CSOD)File Localization</t>
  </si>
  <si>
    <t>ActivityDocument(ST)-Material(CSOD)File Name</t>
  </si>
  <si>
    <t>ActivityDocument(ST)-Material(CSOD)Include Subordinates</t>
  </si>
  <si>
    <t>ActivityDocument(ST)-Material(CSOD)Keywords</t>
  </si>
  <si>
    <t>ActivityDocument(ST)-Material(CSOD)Mobile</t>
  </si>
  <si>
    <t>ActivityDocument(ST)-Material(CSOD)Points</t>
  </si>
  <si>
    <t>ActivityDocument(ST)-Material(CSOD)Pre-Approved</t>
  </si>
  <si>
    <t>ActivityDocument(ST)-Material(CSOD)Provider type*</t>
  </si>
  <si>
    <t>ActivityDocument(ST)-Material(CSOD)Recurrence</t>
  </si>
  <si>
    <t>ActivityDocument(ST)-Material(CSOD)Register Upon Approval</t>
  </si>
  <si>
    <t>ActivityDocument(ST)-Material(CSOD)Thumbnail</t>
  </si>
  <si>
    <t>ActivityDocument(ST)-Material(CSOD)Training Purpose</t>
  </si>
  <si>
    <t>ActivityDocument(ST)-Material(CSOD)URL</t>
  </si>
  <si>
    <t>ActivityILTClass(ST)-Sessions(CSOD)Session ID*</t>
  </si>
  <si>
    <t>ActivityILTClass(ST)-Sessions(CSOD)Part End Date/Time</t>
  </si>
  <si>
    <t>ActivityILTClass(ST)-Sessions(CSOD)Part name</t>
  </si>
  <si>
    <t>ActivityILTClass(ST)-Sessions(CSOD)Part Start Date/Time</t>
  </si>
  <si>
    <t>ActivityILTClass(ST)-Sessions(CSOD)Training Contact</t>
  </si>
  <si>
    <t>ActivityILTClass(ST)-Sessions(CSOD)Event ID</t>
  </si>
  <si>
    <t>ActivityILTClass(ST)-Sessions(CSOD)Part Instructor</t>
  </si>
  <si>
    <t>ActivityILTClass(ST)-Sessions(CSOD)Part Location</t>
  </si>
  <si>
    <t>ActivityILTClass(ST)-Sessions(CSOD)Maximum Users</t>
  </si>
  <si>
    <t>ActivityILTClass(ST)-Sessions(CSOD)Minimum Users</t>
  </si>
  <si>
    <t>ActivityILTClass(ST)-Sessions(CSOD)Vendor/Provider</t>
  </si>
  <si>
    <t>ActivityILTClass(ST)-Sessions(CSOD)Part Timezone</t>
  </si>
  <si>
    <t>ActivityILTClass(ST)-Sessions(CSOD)Allow waitlist for sessions</t>
  </si>
  <si>
    <t>ActivityILTClass(ST)-Sessions(CSOD)Allow Auto-Management of Waitlist‡</t>
  </si>
  <si>
    <t>ActivityILTClass(ST)-Sessions(CSOD)Attendance Parts</t>
  </si>
  <si>
    <t>ActivityILTClass(ST)-Sessions(CSOD)Auto-Register User upon Granting Waitlist‡</t>
  </si>
  <si>
    <t>ActivityILTClass(ST)-Sessions(CSOD)Availability to All Users</t>
  </si>
  <si>
    <t>ActivityILTClass(ST)-Sessions(CSOD)Available Languages</t>
  </si>
  <si>
    <t>ActivityILTClass(ST)-Sessions(CSOD)Cancellation Comment</t>
  </si>
  <si>
    <t>ActivityILTClass(ST)-Sessions(CSOD)Cancellation Reason</t>
  </si>
  <si>
    <t>ActivityILTClass(ST)-Sessions(CSOD)Copy Availability from its Event</t>
  </si>
  <si>
    <t>ActivityILTClass(ST)-Sessions(CSOD)Currency Code</t>
  </si>
  <si>
    <t>ActivityILTClass(ST)-Sessions(CSOD)Default Training Unit Price</t>
  </si>
  <si>
    <t>ActivityILTClass(ST)-Sessions(CSOD)Display Times in TimeZone of User</t>
  </si>
  <si>
    <t>ActivityILTClass(ST)-Sessions(CSOD)Do not allow exception request</t>
  </si>
  <si>
    <t>ActivityILTClass(ST)-Sessions(CSOD)Emails</t>
  </si>
  <si>
    <t>ActivityILTClass(ST)-Sessions(CSOD)Includes Subordinates</t>
  </si>
  <si>
    <t>ActivityILTClass(ST)-Sessions(CSOD)No-show Penalty – Monetary</t>
  </si>
  <si>
    <t>ActivityILTClass(ST)-Sessions(CSOD)No-show Penalty – Training Units</t>
  </si>
  <si>
    <t>ActivityILTClass(ST)-Sessions(CSOD)Part Break Duration</t>
  </si>
  <si>
    <t>ActivityILTClass(ST)-Sessions(CSOD)Penalty Number of Days prior to start</t>
  </si>
  <si>
    <t>ActivityILTClass(ST)-Sessions(CSOD)Pre-Approved</t>
  </si>
  <si>
    <t>ActivityILTClass(ST)-Sessions(CSOD)Price Per Session</t>
  </si>
  <si>
    <t>ActivityILTClass(ST)-Sessions(CSOD)Refund Amount‡</t>
  </si>
  <si>
    <t>ActivityILTClass(ST)-Sessions(CSOD)Refund Number of Days prior to start‡</t>
  </si>
  <si>
    <t>ActivityILTClass(ST)-Sessions(CSOD)Refund Percentage‡</t>
  </si>
  <si>
    <t>ActivityILTClass(ST)-Sessions(CSOD)Refund Type</t>
  </si>
  <si>
    <t>ActivityILTClass(ST)-Sessions(CSOD)Register Upon Approval</t>
  </si>
  <si>
    <t>ActivityILTClass(ST)-Sessions(CSOD)Registration Deadline</t>
  </si>
  <si>
    <t>ActivityILTClass(ST)-Sessions(CSOD)Registration Deadline - Before/After</t>
  </si>
  <si>
    <t>ActivityILTClass(ST)-Sessions(CSOD)Request Form</t>
  </si>
  <si>
    <t>ActivityILTClass(ST)-Sessions(CSOD)Required Completion Approvals</t>
  </si>
  <si>
    <t>ActivityILTClass(ST)-Sessions(CSOD)Required Training Approvals</t>
  </si>
  <si>
    <t>ActivityILTClass(ST)-Sessions(CSOD)Restrict Withdraw from Session</t>
  </si>
  <si>
    <t>ActivityILTClass(ST)-Sessions(CSOD)Session Status</t>
  </si>
  <si>
    <t>ActivityILTClass(ST)-Sessions(CSOD)Training Units</t>
  </si>
  <si>
    <t>ActivityILTClass(ST)-Sessions(CSOD)Withdrawal Penalty Amount</t>
  </si>
  <si>
    <t>ActivityILTClass(ST)-Sessions(CSOD)Withdrawal Penalty Percentage</t>
  </si>
  <si>
    <t>ActivityILTCourse(ST)-Events(CSOD)Active</t>
  </si>
  <si>
    <t>ActivityILTCourse(ST)-Events(CSOD)Event ID*</t>
  </si>
  <si>
    <t>ActivityILTCourse(ST)-Events(CSOD)Event Description</t>
  </si>
  <si>
    <t>ActivityILTCourse(ST)-Events(CSOD)Event Name*</t>
  </si>
  <si>
    <t>ActivityILTCourse(ST)-Events(CSOD)Competency IDs</t>
  </si>
  <si>
    <t>ActivityILTCourse(ST)-Events(CSOD)Credits</t>
  </si>
  <si>
    <t>ActivityILTCourse(ST)-Events(CSOD)Training Hours</t>
  </si>
  <si>
    <t>ActivityILTCourse(ST)-Events(CSOD)Allow Interest Tracking</t>
  </si>
  <si>
    <t>ActivityILTCourse(ST)-Events(CSOD)Preferred Instructors</t>
  </si>
  <si>
    <t>ActivityILTCourse(ST)-Events(CSOD)Default Language</t>
  </si>
  <si>
    <t>ActivityILTCourse(ST)-Events(CSOD)Maximum Users</t>
  </si>
  <si>
    <t>ActivityILTCourse(ST)-Events(CSOD)Minimum Users</t>
  </si>
  <si>
    <t>ActivityILTCourse(ST)-Events(CSOD)Skills</t>
  </si>
  <si>
    <t>ActivityILTCourse(ST)-Events(CSOD)Subject IDs*</t>
  </si>
  <si>
    <t>ActivityILTCourse(ST)-Events(CSOD)Ability To Select Session</t>
  </si>
  <si>
    <t>ActivityILTCourse(ST)-Events(CSOD)Allow Auto-Management of Waitlist‡</t>
  </si>
  <si>
    <t>ActivityILTCourse(ST)-Events(CSOD)Allow Users to Attend Multiple Sessions </t>
  </si>
  <si>
    <t>ActivityILTCourse(ST)-Events(CSOD)Allow waitlist for sessions</t>
  </si>
  <si>
    <t>ActivityILTCourse(ST)-Events(CSOD)Auto-Register User upon Granting Waitlist‡</t>
  </si>
  <si>
    <t>ActivityILTCourse(ST)-Events(CSOD)Badge</t>
  </si>
  <si>
    <t>ActivityILTCourse(ST)-Events(CSOD)Copy Availability to New Sessions</t>
  </si>
  <si>
    <t>ActivityILTCourse(ST)-Events(CSOD)Currency Code</t>
  </si>
  <si>
    <t>ActivityILTCourse(ST)-Events(CSOD)Default Training Unit Price</t>
  </si>
  <si>
    <t>ActivityILTCourse(ST)-Events(CSOD)Display Session Time In User Time</t>
  </si>
  <si>
    <t>ActivityILTCourse(ST)-Events(CSOD)Limit Users To One Waitlist Per Event</t>
  </si>
  <si>
    <t>ActivityILTCourse(ST)-Events(CSOD)No-show Penalty – Monetary</t>
  </si>
  <si>
    <t>ActivityILTCourse(ST)-Events(CSOD)No-show Penalty – Training Units</t>
  </si>
  <si>
    <t>ActivityILTCourse(ST)-Events(CSOD)Objectives</t>
  </si>
  <si>
    <t>ActivityILTCourse(ST)-Events(CSOD)Penalty Number of Days prior to start</t>
  </si>
  <si>
    <t>ActivityILTCourse(ST)-Events(CSOD)Provide cost of Event</t>
  </si>
  <si>
    <t>ActivityILTCourse(ST)-Events(CSOD)Refund Amount‡</t>
  </si>
  <si>
    <t>ActivityILTCourse(ST)-Events(CSOD)Refund Number of Days prior to start‡</t>
  </si>
  <si>
    <t>ActivityILTCourse(ST)-Events(CSOD)Refund Percentage‡</t>
  </si>
  <si>
    <t>ActivityILTCourse(ST)-Events(CSOD)Refund Type</t>
  </si>
  <si>
    <t>ActivityILTCourse(ST)-Events(CSOD)Registration Deadline - Before/After</t>
  </si>
  <si>
    <t>ActivityILTCourse(ST)-Events(CSOD)Restrict Withdraw from Session</t>
  </si>
  <si>
    <t>ActivityILTCourse(ST)-Events(CSOD)Secondary Vendor/Provider</t>
  </si>
  <si>
    <t>ActivityILTCourse(ST)-Events(CSOD)Withdrawal  Penalty Amount</t>
  </si>
  <si>
    <t>ActivityILTCourse(ST)-Events(CSOD)Withdrawal Penalty Percentage</t>
  </si>
  <si>
    <t>ActivityILTSessions(ST)-SessionParts(CSOD)Description</t>
  </si>
  <si>
    <t>ActivityILTSessions(ST)-SessionParts(CSOD)End Date/Time</t>
  </si>
  <si>
    <t>ActivityILTSessions(ST)-SessionParts(CSOD)Instructor</t>
  </si>
  <si>
    <t>ActivityILTSessions(ST)-SessionParts(CSOD)Location</t>
  </si>
  <si>
    <t>ActivityILTSessions(ST)-SessionParts(CSOD)Part Name</t>
  </si>
  <si>
    <t>ActivityILTSessions(ST)-SessionParts(CSOD)Start Date/Time*</t>
  </si>
  <si>
    <t>ActivityILTSessions(ST)-SessionParts(CSOD)Time Zone ID</t>
  </si>
  <si>
    <t>ActivityILTSessions(ST)-SessionParts(CSOD)Display Times in TimeZone of User</t>
  </si>
  <si>
    <t>ActivityILTSessions(ST)-SessionParts(CSOD)New Start Date/Time</t>
  </si>
  <si>
    <t>ActivityILTSessions(ST)-SessionParts(CSOD)Part Break</t>
  </si>
  <si>
    <t>ActivityOnlineCourse(ST)-OnlineCourse(CSOD)Online Course ID*</t>
  </si>
  <si>
    <t>ActivityOnlineCourse(ST)-OnlineCourse(CSOD)Online Course Description</t>
  </si>
  <si>
    <t>ActivityOnlineCourse(ST)-OnlineCourse(CSOD)Online Course Name*</t>
  </si>
  <si>
    <t>ActivityOnlineCourse(ST)-OnlineCourse(CSOD)Training Hours</t>
  </si>
  <si>
    <t>ActivityOnlineCourse(ST)-OnlineCourse(CSOD)Allow Download</t>
  </si>
  <si>
    <t>ActivityOnlineCourse(ST)-OnlineCourse(CSOD)Available Offline - Allow download for offline consumption</t>
  </si>
  <si>
    <t>ActivityOnlineCourse(ST)-OnlineCourse(CSOD)Available Offline - Allow launch from offline network location‡</t>
  </si>
  <si>
    <t>ActivityOnlineCourse(ST)-OnlineCourse(CSOD)Competency IDs</t>
  </si>
  <si>
    <t>ActivityOnlineCourse(ST)-OnlineCourse(CSOD)File Name*</t>
  </si>
  <si>
    <t>ActivityOnlineCourse(ST)-OnlineCourse(CSOD)Height Screen Resolution</t>
  </si>
  <si>
    <t>ActivityOnlineCourse(ST)-OnlineCourse(CSOD)Provider type*</t>
  </si>
  <si>
    <t>ActivityOnlineCourse(ST)-OnlineCourse(CSOD)Skills</t>
  </si>
  <si>
    <t>ActivityOnlineCourse(ST)-OnlineCourse(CSOD)Width Screen Resolution</t>
  </si>
  <si>
    <t>ActivityQuickAssessment(ST)-Test(CSOD)Test ID*</t>
  </si>
  <si>
    <t>ActivityQuickAssessment(ST)-Test(CSOD)Test Description</t>
  </si>
  <si>
    <t>ActivityQuickAssessment(ST)-Test(CSOD)Test Title*</t>
  </si>
  <si>
    <t>ActivityQuickAssessment(ST)-Test(CSOD)Allow Review After Every Attempt</t>
  </si>
  <si>
    <t>ActivityQuickAssessment(ST)-Test(CSOD)Allow Test Review - User</t>
  </si>
  <si>
    <t>ActivityQuickAssessment(ST)-Test(CSOD)Time Limit</t>
  </si>
  <si>
    <t>ActivityQuickAssessment(ST)-Test(CSOD)Training Hours</t>
  </si>
  <si>
    <t>ActivityQuickAssessment(ST)-Test(CSOD)Passing Score Percentage</t>
  </si>
  <si>
    <t>ActivityQuickAssessment(ST)-Test(CSOD)Question Reference Number</t>
  </si>
  <si>
    <t>ActivityQuickAssessment(ST)-Test(CSOD)Randomize Questions</t>
  </si>
  <si>
    <t>ActivityQuickAssessment(ST)-Test(CSOD)Allow Test Review - Manager</t>
  </si>
  <si>
    <t>ActivityQuickAssessment(ST)-Test(CSOD)Attempts Allowed</t>
  </si>
  <si>
    <t>ActivityQuickAssessment(ST)-Test(CSOD)Early Exit</t>
  </si>
  <si>
    <t>ActivityQuickAssessment(ST)-Test(CSOD)Lockout</t>
  </si>
  <si>
    <t>ActivityQuickAssessment(ST)-Test(CSOD)Lockout Duration</t>
  </si>
  <si>
    <t>ActivityQuickAssessment(ST)-Test(CSOD)Lockout Type</t>
  </si>
  <si>
    <t>ActivityQuickAssessment(ST)-Test(CSOD)Randomize Sections</t>
  </si>
  <si>
    <t>ActivityQuickAssessment(ST)-Test(CSOD)Review Level</t>
  </si>
  <si>
    <t>ActivityQuickAssessment(ST)-Test(CSOD)Test Instructions</t>
  </si>
  <si>
    <t>ActivityQuickAssessment(ST)-Test(CSOD)Thumbnail</t>
  </si>
  <si>
    <t>ActivityQuickAssessment(ST)-Test(CSOD)View Test Score - Manager</t>
  </si>
  <si>
    <t>ActivityQuickAssessment(ST)-Test(CSOD)View Test Score - User</t>
  </si>
  <si>
    <t>ActivityQuickAssessment(ST)-TestMapping(CSOD)Test ID</t>
  </si>
  <si>
    <t>ActivityQuickAssessment(ST)-TestMapping(CSOD)Question Reference Number</t>
  </si>
  <si>
    <t>ActivityQuickAssessment(ST)-TestMapping(CSOD)Always Include Question</t>
  </si>
  <si>
    <t>ActivityQuickAssessment(ST)-TestMapping(CSOD)Order Number</t>
  </si>
  <si>
    <t>ActivityQuickAssessment(ST)-TestMapping(CSOD)Questions per Section Display</t>
  </si>
  <si>
    <t>ActivityQuickAssessment(ST)-TestMapping(CSOD)Section Description</t>
  </si>
  <si>
    <t>ActivityQuickAssessment(ST)-TestMapping(CSOD)Section Name</t>
  </si>
  <si>
    <t>ActivityQuickAssessment(ST)-TestMapping(CSOD)Section Number</t>
  </si>
  <si>
    <t>CoreAudience(ST)-GroupsOU(CSOD)Active</t>
  </si>
  <si>
    <t>CoreAudience(ST)-GroupsOU(CSOD)OU ID*</t>
  </si>
  <si>
    <t>CoreAudience(ST)-GroupsOU(CSOD)Description</t>
  </si>
  <si>
    <t>CoreAudience(ST)-GroupsOU(CSOD)OU Name*</t>
  </si>
  <si>
    <t>CoreAudience(ST)-GroupsOU(CSOD)Allow Reconciliation</t>
  </si>
  <si>
    <t>CoreAudience(ST)-GroupsOU(CSOD)Parent ID</t>
  </si>
  <si>
    <t>CoreAudience(ST)-GroupsOU(CSOD)Owner ID</t>
  </si>
  <si>
    <t>CoreAudience(ST)-GroupsOU(CSOD)Freeze Group Processing</t>
  </si>
  <si>
    <t>CoreDomain(ST)-DivisionOU(CSOD)OU ID*</t>
  </si>
  <si>
    <t>CoreDomain(ST)-DivisionOU(CSOD)Description</t>
  </si>
  <si>
    <t>CoreDomain(ST)-DivisionOU(CSOD)OU Name*</t>
  </si>
  <si>
    <t>CoreDomain(ST)-DivisionOU(CSOD)Owner ID</t>
  </si>
  <si>
    <t>CoreDomain(ST)-DivisionOU(CSOD)Parent ID</t>
  </si>
  <si>
    <t>CoreDomain(ST)-DivisionOU(CSOD)Active</t>
  </si>
  <si>
    <t>CoreEmployee(ST)-Employee-CHR(CSOD)Status</t>
  </si>
  <si>
    <t>CoreEmployee(ST)-Employee-CHR(CSOD)Address Line 1</t>
  </si>
  <si>
    <t>CoreEmployee(ST)-Employee-CHR(CSOD)Address Line 2</t>
  </si>
  <si>
    <t>CoreEmployee(ST)-Employee-CHR(CSOD)City</t>
  </si>
  <si>
    <t>CoreEmployee(ST)-Employee-CHR(CSOD)Country</t>
  </si>
  <si>
    <t>CoreEmployee(ST)-Employee-CHR(CSOD)Email</t>
  </si>
  <si>
    <t>CoreEmployee(ST)-Employee-CHR(CSOD)Personal Email</t>
  </si>
  <si>
    <t>CoreEmployee(ST)-Employee-CHR(CSOD)Ethnicity</t>
  </si>
  <si>
    <t>CoreEmployee(ST)-Employee-CHR(CSOD)Fax</t>
  </si>
  <si>
    <t>CoreEmployee(ST)-Employee-CHR(CSOD)First Name*</t>
  </si>
  <si>
    <t>CoreEmployee(ST)-Employee-CHR(CSOD)Gender</t>
  </si>
  <si>
    <t>CoreEmployee(ST)-Employee-CHR(CSOD)Effective Date</t>
  </si>
  <si>
    <t>CoreEmployee(ST)-Employee-CHR(CSOD)Last Name*</t>
  </si>
  <si>
    <t>CoreEmployee(ST)-Employee-CHR(CSOD)Language</t>
  </si>
  <si>
    <t>CoreEmployee(ST)-Employee-CHR(CSOD)Manager</t>
  </si>
  <si>
    <t>CoreEmployee(ST)-Employee-CHR(CSOD)Middle Name</t>
  </si>
  <si>
    <t>CoreEmployee(ST)-Employee-CHR(CSOD)Mobile</t>
  </si>
  <si>
    <t>CoreEmployee(ST)-Employee-CHR(CSOD)GUID</t>
  </si>
  <si>
    <t>CoreEmployee(ST)-Employee-CHR(CSOD)User ID*</t>
  </si>
  <si>
    <t>CoreEmployee(ST)-Employee-CHR(CSOD)Phone</t>
  </si>
  <si>
    <t>CoreEmployee(ST)-Employee-CHR(CSOD)Prefix</t>
  </si>
  <si>
    <t>CoreEmployee(ST)-Employee-CHR(CSOD)Division*</t>
  </si>
  <si>
    <t>CoreEmployee(ST)-Employee-CHR(CSOD)Job Date</t>
  </si>
  <si>
    <t>CoreEmployee(ST)-Employee-CHR(CSOD)Position*</t>
  </si>
  <si>
    <t>CoreEmployee(ST)-Employee-CHR(CSOD)Cost Center*</t>
  </si>
  <si>
    <t>CoreEmployee(ST)-Employee-CHR(CSOD)Original Hire Date</t>
  </si>
  <si>
    <t>CoreEmployee(ST)-Employee-CHR(CSOD)State</t>
  </si>
  <si>
    <t>CoreEmployee(ST)-Employee-CHR(CSOD)Suffix</t>
  </si>
  <si>
    <t>CoreEmployee(ST)-Employee-CHR(CSOD)Time Zone</t>
  </si>
  <si>
    <t>CoreEmployee(ST)-Employee-CHR(CSOD)User Type</t>
  </si>
  <si>
    <t>CoreEmployee(ST)-Employee-CHR(CSOD)Username</t>
  </si>
  <si>
    <t>CoreEmployee(ST)-Employee-CHR(CSOD)Zip</t>
  </si>
  <si>
    <t>CoreEmployee(ST)-Employee-CHR(CSOD)Reason for Change (accepted on modification)</t>
  </si>
  <si>
    <t>CoreEmployee(ST)-Employee-CHR(CSOD)Local System ID</t>
  </si>
  <si>
    <t>CoreEmployee(ST)-Employee-CHR(CSOD)Approver</t>
  </si>
  <si>
    <t>CoreEmployee(ST)-Employee-CHR(CSOD)Absent</t>
  </si>
  <si>
    <t>CoreEmployee(ST)-Employee-CHR(CSOD)Allow Reconciliation</t>
  </si>
  <si>
    <t>CoreEmployee(ST)-Employee-CHR(CSOD)Required Training Approvals</t>
  </si>
  <si>
    <t>CoreEmployee(ST)-Employee-CHR(CSOD)Mailstop</t>
  </si>
  <si>
    <t>CoreEmployee(ST)-Employee-CHR(CSOD)Last Hire Date</t>
  </si>
  <si>
    <t>CoreEmployee(ST)-Employee-CHR(CSOD)Grade</t>
  </si>
  <si>
    <t>CoreEmployee(ST)-Employee-CHR(CSOD)Location</t>
  </si>
  <si>
    <t>CoreEmployee(ST)-Employee-CHR(CSOD)Legal Entity</t>
  </si>
  <si>
    <t>CoreEmployee(ST)-Employee-CHR(CSOD)HR Partner</t>
  </si>
  <si>
    <t>CoreJob(ST)-PositionOU(CSOD)Owner ID</t>
  </si>
  <si>
    <t>CoreJob(ST)-PositionOU(CSOD)OU ID*</t>
  </si>
  <si>
    <t>CoreJob(ST)-PositionOU(CSOD)Description</t>
  </si>
  <si>
    <t>CoreJob(ST)-PositionOU(CSOD)OU Name*</t>
  </si>
  <si>
    <t>CoreJob(ST)-PositionOU(CSOD)Plan Owner OU ID</t>
  </si>
  <si>
    <t>CoreOrganization(ST)-CostCenterOU(CSOD)Approver ID</t>
  </si>
  <si>
    <t>PrerequisitesFacility_Location(ST)-Facility(CSOD)Address 1</t>
  </si>
  <si>
    <t>PrerequisitesFacility_Location(ST)-Facility(CSOD)Address 2</t>
  </si>
  <si>
    <t>PrerequisitesFacility_Location(ST)-Facility(CSOD)Approval Required</t>
  </si>
  <si>
    <t>PrerequisitesFacility_Location(ST)-Facility(CSOD)Contact</t>
  </si>
  <si>
    <t>PrerequisitesFacility_Location(ST)-Facility(CSOD)Country</t>
  </si>
  <si>
    <t>PrerequisitesFacility_Location(ST)-Facility(CSOD)Facility Email</t>
  </si>
  <si>
    <t>PrerequisitesFacility_Location(ST)-Facility(CSOD)Facility Name*</t>
  </si>
  <si>
    <t>PrerequisitesFacility_Location(ST)-Facility(CSOD)Facility Type*</t>
  </si>
  <si>
    <t>PrerequisitesFacility_Location(ST)-Facility(CSOD)Facility Id*</t>
  </si>
  <si>
    <t>PrerequisitesFacility_Location(ST)-Facility(CSOD)Fax</t>
  </si>
  <si>
    <t>PrerequisitesFacility_Location(ST)-Facility(CSOD)Occupancy</t>
  </si>
  <si>
    <t>PrerequisitesFacility_Location(ST)-Facility(CSOD)Phone</t>
  </si>
  <si>
    <t>PrerequisitesFacility_Location(ST)-Facility(CSOD)State</t>
  </si>
  <si>
    <t>PrerequisitesFacility_Location(ST)-Facility(CSOD)Time Zone ID*</t>
  </si>
  <si>
    <t>PrerequisitesFacility_Location(ST)-Facility(CSOD)On site</t>
  </si>
  <si>
    <t>PrerequisitesFacility_Location(ST)-Facility(CSOD)Allow Reconcile</t>
  </si>
  <si>
    <t>PrerequisitesFacility_Location(ST)-Facility(CSOD)Owner ID</t>
  </si>
  <si>
    <t>PrerequisitesInstructor(ST)-Instructor(CSOD)Active</t>
  </si>
  <si>
    <t>PrerequisitesInstructor(ST)-Instructor(CSOD)Instructor ID*</t>
  </si>
  <si>
    <t>PrerequisitesInstructor(ST)-Instructor(CSOD)Vendor/Provider*</t>
  </si>
  <si>
    <t>PrerequisitesInstructor(ST)-Instructor(CSOD)Home Location</t>
  </si>
  <si>
    <t>PrerequisitesInstructor(ST)-Instructor(CSOD)Internal/External*</t>
  </si>
  <si>
    <t>PrerequisitesInstructor(ST)-Instructor(CSOD)First Name</t>
  </si>
  <si>
    <t>PrerequisitesInstructor(ST)-Instructor(CSOD)Last Name</t>
  </si>
  <si>
    <t>PrerequisitesInstructor(ST)-Instructor(CSOD)Phone</t>
  </si>
  <si>
    <t>PrerequisitesInstructor(ST)-Instructor(CSOD)Fax</t>
  </si>
  <si>
    <t>PrerequisitesInstructor(ST)-Instructor(CSOD)Email</t>
  </si>
  <si>
    <t>PrerequisitesInstructor(ST)-Instructor(CSOD)Languages Spoken</t>
  </si>
  <si>
    <t>PrerequisitesInstructor(ST)-Instructor(CSOD)Education</t>
  </si>
  <si>
    <t>PrerequisitesInstructor(ST)-Instructor(CSOD)Biography</t>
  </si>
  <si>
    <t>PrerequisitesInstructor(ST)-Instructor(CSOD)Certifications</t>
  </si>
  <si>
    <t>PrerequisitesLibraryTopic(ST)-Subject(CSOD)Parent Subject Ref</t>
  </si>
  <si>
    <t>PrerequisitesLibraryTopic(ST)-Subject(CSOD)Subject Ref</t>
  </si>
  <si>
    <t>PrerequisitesLibraryTopic(ST)-Subject(CSOD)Title</t>
  </si>
  <si>
    <t>PrerequisitesProvider(CSOD)Provider Name*</t>
  </si>
  <si>
    <t>PrerequisitesProvider(CSOD)Provider Type*</t>
  </si>
  <si>
    <t>PrerequisitesProvider(CSOD)Active</t>
  </si>
  <si>
    <t>PrerequisitesProvider(CSOD)Address 1</t>
  </si>
  <si>
    <t>PrerequisitesProvider(CSOD)Address 2</t>
  </si>
  <si>
    <t>PrerequisitesProvider(CSOD)City</t>
  </si>
  <si>
    <t>PrerequisitesProvider(CSOD)ZIP</t>
  </si>
  <si>
    <t>PrerequisitesProvider(CSOD)State/Province</t>
  </si>
  <si>
    <t>PrerequisitesProvider(CSOD)Country</t>
  </si>
  <si>
    <t>PrerequisitesProvider(CSOD)Contact Name</t>
  </si>
  <si>
    <t>PrerequisitesProvider(CSOD)Phone number</t>
  </si>
  <si>
    <t>PrerequisitesProvider(CSOD)Fax number</t>
  </si>
  <si>
    <t>PrerequisitesProvider(CSOD)URL</t>
  </si>
  <si>
    <t>PrerequisitesProvider(CSOD)Email</t>
  </si>
  <si>
    <t>PrerequisitesProvider(CSOD)Description</t>
  </si>
  <si>
    <t>PrerequisitesQuestionBanks(ST)-QuestionCategories(CSOD)Category Ref*</t>
  </si>
  <si>
    <t>PrerequisitesQuestionBanks(ST)-QuestionCategories(CSOD)Category Name*</t>
  </si>
  <si>
    <t>PrerequisitesQuestionBanks(ST)-QuestionCategories(CSOD)Parent Category Ref</t>
  </si>
  <si>
    <t>PrerequisitesQuestions(ST)-Questions(CSOD)# of Answer Choices</t>
  </si>
  <si>
    <t>PrerequisitesQuestions(ST)-Questions(CSOD)All of the Above</t>
  </si>
  <si>
    <t>PrerequisitesQuestions(ST)-Questions(CSOD)Answer 1</t>
  </si>
  <si>
    <t>PrerequisitesQuestions(ST)-Questions(CSOD)Answer 2</t>
  </si>
  <si>
    <t>PrerequisitesQuestions(ST)-Questions(CSOD)Answer 3</t>
  </si>
  <si>
    <t>PrerequisitesQuestions(ST)-Questions(CSOD)Answer 4</t>
  </si>
  <si>
    <t>PrerequisitesQuestions(ST)-Questions(CSOD)Correct Answer</t>
  </si>
  <si>
    <t>PrerequisitesQuestions(ST)-Questions(CSOD)None of the Above</t>
  </si>
  <si>
    <t>PrerequisitesQuestions(ST)-Questions(CSOD)Category Ref*</t>
  </si>
  <si>
    <t>PrerequisitesQuestions(ST)-Questions(CSOD)Question Reference Number*</t>
  </si>
  <si>
    <t>PrerequisitesQuestions(ST)-Questions(CSOD)Question Text*</t>
  </si>
  <si>
    <t>PrerequisitesQuestions(ST)-Questions(CSOD)Question Type*</t>
  </si>
  <si>
    <t>PrerequisitesQuestions(ST)-Questions(CSOD)Default Language</t>
  </si>
  <si>
    <t>PrerequisitesQuestions(ST)-Questions(CSOD)Active</t>
  </si>
  <si>
    <t>PrerequisitesQuestions(ST)-Questions(CSOD)Randomize Answer Choices</t>
  </si>
  <si>
    <t>PrerequisitesQuestions(ST)-Questions(CSOD)Answer Explanation</t>
  </si>
  <si>
    <t>PrerequisitesQuestions(ST)-Questions(CSOD)Answer 5</t>
  </si>
  <si>
    <t>PrerequisitesQuestions(ST)-Questions(CSOD)Answer 6</t>
  </si>
  <si>
    <t>PrerequisitesQuestions(ST)-Questions(CSOD)Answer 7</t>
  </si>
  <si>
    <t>PrerequisitesQuestions(ST)-Questions(CSOD)Answer 8</t>
  </si>
  <si>
    <t>PrerequisitesQuestions(ST)-Questions(CSOD)Answer 9</t>
  </si>
  <si>
    <t>PrerequisitesQuestions(ST)-Questions(CSOD)Answer 10</t>
  </si>
  <si>
    <t>PrerequisitesQuestions(ST)-Questions(CSOD)Image Filename</t>
  </si>
  <si>
    <t>PrerequisitesQuestions(ST)-Questions(CSOD)Answer Coordinates</t>
  </si>
  <si>
    <t>PrerequisitesQuestions(ST)-Questions(CSOD)Apply partial scoring</t>
  </si>
  <si>
    <t>PrerequisitesQuestions(ST)-Questions(CSOD)Author</t>
  </si>
  <si>
    <t>TranscriptCurriculumRoster(ST)-CurriculumTranscript(CSOD)Curriculum ID*</t>
  </si>
  <si>
    <t>TranscriptCurriculumRoster(ST)-CurriculumTranscript(CSOD)Completion Date/Time</t>
  </si>
  <si>
    <t>TranscriptCurriculumRoster(ST)-CurriculumTranscript(CSOD)Due Date/Time‡</t>
  </si>
  <si>
    <t>TranscriptCurriculumRoster(ST)-CurriculumTranscript(CSOD)User ID*</t>
  </si>
  <si>
    <t>TranscriptCurriculumRoster(ST)-CurriculumTranscript(CSOD)Comments</t>
  </si>
  <si>
    <t>TranscriptCurriculumRoster(ST)-CurriculumTranscript(CSOD)Request Date/Time*</t>
  </si>
  <si>
    <t>TranscriptCurriculumRoster(ST)-CurriculumTranscript(CSOD)Registration Date/Time*</t>
  </si>
  <si>
    <t>TranscriptCurriculumRoster(ST)-CurriculumTranscript(CSOD)Transcript Status*</t>
  </si>
  <si>
    <t>TranscriptCurriculumRoster(ST)-CurriculumTranscript(CSOD)Transcript Action</t>
  </si>
  <si>
    <t>TranscriptCurriculumRoster(ST)-CurriculumTranscript(CSOD)Archived</t>
  </si>
  <si>
    <t>TranscriptCurriculumRoster(ST)-CurriculumTranscript(CSOD)User Exempt Reason</t>
  </si>
  <si>
    <t>TranscriptCurriculumRoster(ST)-CurriculumTranscript(CSOD)Approver Exempt Reason</t>
  </si>
  <si>
    <t>TranscriptCurriculumRoster(ST)-CurriculumTranscript(CSOD)User's Exemption Comments</t>
  </si>
  <si>
    <t>TranscriptCurriculumRoster(ST)-CurriculumTranscript(CSOD)Approver's Exemption Comments</t>
  </si>
  <si>
    <t>TranscriptCurriculumRoster(ST)-CurriculumTranscript(CSOD)Exempt By</t>
  </si>
  <si>
    <t>TranscriptCurriculumRoster(ST)-CurriculumTranscript(CSOD)Training Points</t>
  </si>
  <si>
    <t>TranscriptCurriculumRoster(ST)-CurriculumTranscript(CSOD)Training Badge</t>
  </si>
  <si>
    <t>TranscriptDocumentRoster(ST)-MaterialTranscript(CSOD)Comments</t>
  </si>
  <si>
    <t>TranscriptDocumentRoster(ST)-MaterialTranscript(CSOD)Transcript Status*</t>
  </si>
  <si>
    <t>TranscriptDocumentRoster(ST)-MaterialTranscript(CSOD)Due Date Action type</t>
  </si>
  <si>
    <t>TranscriptILTCLassRoster(ST)-SessionTranscript(CSOD)Session ID*</t>
  </si>
  <si>
    <t>TranscriptILTCLassRoster(ST)-SessionTranscript(CSOD)Completion Date/Time</t>
  </si>
  <si>
    <t>TranscriptILTCLassRoster(ST)-SessionTranscript(CSOD)Request Date/Time</t>
  </si>
  <si>
    <t>TranscriptILTCLassRoster(ST)-SessionTranscript(CSOD)Registration Date/Time</t>
  </si>
  <si>
    <t>TranscriptILTCLassRoster(ST)-SessionTranscript(CSOD)Score</t>
  </si>
  <si>
    <t>TranscriptILTCLassRoster(ST)-SessionTranscript(CSOD)Pass/Fail</t>
  </si>
  <si>
    <t>TranscriptILTCLassRoster(ST)-SessionTranscript(CSOD)Transcript Status</t>
  </si>
  <si>
    <t>TranscriptOCRoster(ST)-OnlineCourse(CSOD)Online Course ID*</t>
  </si>
  <si>
    <t>TranscriptOCRoster(ST)-OnlineCourse(CSOD)Score</t>
  </si>
  <si>
    <t>TranscriptQuickAssessmentRoster(ST)-TestTranscript(CSOD)Score</t>
  </si>
  <si>
    <t>TranscriptQuickAssessmentRoster(ST)-TestTranscript(CSOD)User Exempt Reason</t>
  </si>
  <si>
    <t>TranscriptQuickAssessmentRoster(ST)-TestTranscript(CSOD)Approver Exempt Reason</t>
  </si>
  <si>
    <t/>
  </si>
  <si>
    <t>col</t>
  </si>
  <si>
    <t>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</si>
</sst>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3" borderId="0" xfId="0" applyFont="1" applyFill="1" applyAlignment="1">
      <alignment vertical="center" wrapText="1"/>
    </xf>
    <xf numFmtId="0" fontId="0" fillId="4" borderId="0" xfId="0" applyFill="1"/>
    <xf numFmtId="0" fontId="1" fillId="5" borderId="0" xfId="0" applyFont="1" applyFill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1" fillId="7" borderId="0" xfId="0" applyFont="1" applyFill="1" applyAlignment="1">
      <alignment wrapText="1"/>
    </xf>
    <xf numFmtId="0" fontId="0" fillId="2" borderId="1" xfId="0" applyFill="1" applyBorder="1"/>
    <xf numFmtId="0" fontId="0" fillId="4" borderId="1" xfId="0" applyFill="1" applyBorder="1"/>
    <xf numFmtId="0" fontId="1" fillId="7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8" borderId="1" xfId="0" applyFont="1" applyFill="1" applyBorder="1"/>
    <xf numFmtId="0" fontId="0" fillId="0" borderId="1" xfId="0" applyBorder="1"/>
    <xf numFmtId="0" fontId="2" fillId="0" borderId="1" xfId="0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1" applyFill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1" fillId="9" borderId="1" xfId="0" applyFont="1" applyFill="1" applyBorder="1"/>
    <xf numFmtId="0" fontId="0" fillId="9" borderId="0" xfId="0" applyFill="1" applyAlignment="1">
      <alignment wrapText="1"/>
    </xf>
    <xf numFmtId="0" fontId="1" fillId="9" borderId="1" xfId="0" applyFont="1" applyFill="1" applyBorder="1" applyAlignment="1">
      <alignment wrapText="1"/>
    </xf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78705B810904CE5/Pixentia/Mapping.xlsx" TargetMode="External"/><Relationship Id="rId1" Type="http://schemas.openxmlformats.org/officeDocument/2006/relationships/externalLinkPath" Target="https://d.docs.live.net/978705B810904CE5/Pixentia/Mapp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 (2)"/>
      <sheetName val="Sheet4"/>
      <sheetName val="Sheet1"/>
    </sheetNames>
    <sheetDataSet>
      <sheetData sheetId="0">
        <row r="2">
          <cell r="L2" t="str">
            <v>ActivityActivity(ST)-CurriculumStructure(CSOD)Curriculum ID*</v>
          </cell>
          <cell r="M2" t="str">
            <v/>
          </cell>
        </row>
        <row r="3">
          <cell r="L3" t="str">
            <v>ActivityActivity(ST)-CurriculumStructure(CSOD)Child LO ID*</v>
          </cell>
          <cell r="M3" t="str">
            <v/>
          </cell>
        </row>
        <row r="4">
          <cell r="L4" t="str">
            <v>ActivityActivity(ST)-CurriculumStructure(CSOD)Auto Launch</v>
          </cell>
          <cell r="M4" t="b">
            <v>0</v>
          </cell>
        </row>
        <row r="5">
          <cell r="L5" t="str">
            <v>ActivityActivity(ST)-CurriculumStructure(CSOD)Auto Register</v>
          </cell>
          <cell r="M5" t="b">
            <v>0</v>
          </cell>
        </row>
        <row r="6">
          <cell r="L6" t="str">
            <v>ActivityActivity(ST)-CurriculumStructure(CSOD)Course Play Order</v>
          </cell>
          <cell r="M6" t="str">
            <v/>
          </cell>
        </row>
        <row r="7">
          <cell r="L7" t="str">
            <v>ActivityActivity(ST)-CurriculumStructure(CSOD)Modified By</v>
          </cell>
          <cell r="M7" t="str">
            <v/>
          </cell>
        </row>
        <row r="8">
          <cell r="L8" t="str">
            <v>ActivityActivity(ST)-CurriculumStructure(CSOD)Pay Upfront</v>
          </cell>
          <cell r="M8" t="b">
            <v>0</v>
          </cell>
        </row>
        <row r="9">
          <cell r="L9" t="str">
            <v>ActivityActivity(ST)-CurriculumStructure(CSOD)Pre Approve</v>
          </cell>
          <cell r="M9" t="b">
            <v>0</v>
          </cell>
        </row>
        <row r="10">
          <cell r="L10" t="str">
            <v>ActivityActivity(ST)-CurriculumStructure(CSOD)Section #*</v>
          </cell>
          <cell r="M10" t="str">
            <v/>
          </cell>
        </row>
        <row r="11">
          <cell r="L11" t="str">
            <v>ActivityActivity(ST)-CurriculumStructure(CSOD)Section Name*</v>
          </cell>
          <cell r="M11" t="str">
            <v/>
          </cell>
        </row>
        <row r="12">
          <cell r="L12" t="str">
            <v>ActivityDocument(ST)-Material(CSOD)Active</v>
          </cell>
          <cell r="M12" t="b">
            <v>0</v>
          </cell>
        </row>
        <row r="13">
          <cell r="L13" t="str">
            <v>ActivityDocument(ST)-Material(CSOD)Material ID*</v>
          </cell>
          <cell r="M13" t="str">
            <v/>
          </cell>
        </row>
        <row r="14">
          <cell r="L14" t="str">
            <v>ActivityDocument(ST)-Material(CSOD)Material Description</v>
          </cell>
          <cell r="M14" t="str">
            <v/>
          </cell>
        </row>
        <row r="15">
          <cell r="L15" t="str">
            <v>ActivityDocument(ST)-Material(CSOD)Material Title*</v>
          </cell>
          <cell r="M15" t="str">
            <v/>
          </cell>
        </row>
        <row r="16">
          <cell r="L16" t="str">
            <v>ActivityDocument(ST)-Material(CSOD)Material Type ID*</v>
          </cell>
          <cell r="M16" t="str">
            <v/>
          </cell>
        </row>
        <row r="17">
          <cell r="L17" t="str">
            <v>ActivityDocument(ST)-Material(CSOD)Credits</v>
          </cell>
          <cell r="M17" t="str">
            <v/>
          </cell>
        </row>
        <row r="18">
          <cell r="L18" t="str">
            <v>ActivityDocument(ST)-Material(CSOD)Training Hours</v>
          </cell>
          <cell r="M18" t="str">
            <v/>
          </cell>
        </row>
        <row r="19">
          <cell r="L19" t="str">
            <v>ActivityDocument(ST)-Material(CSOD)Default Language</v>
          </cell>
          <cell r="M19">
            <v>1</v>
          </cell>
        </row>
        <row r="20">
          <cell r="L20" t="str">
            <v>ActivityDocument(ST)-Material(CSOD)Vendor/Provider*</v>
          </cell>
          <cell r="M20" t="str">
            <v/>
          </cell>
        </row>
        <row r="21">
          <cell r="L21" t="str">
            <v>ActivityDocument(ST)-Material(CSOD)Subject IDs</v>
          </cell>
          <cell r="M21" t="str">
            <v/>
          </cell>
        </row>
        <row r="22">
          <cell r="L22" t="str">
            <v>ActivityDocument(ST)-Material(CSOD)Availability OU Type</v>
          </cell>
          <cell r="M22" t="str">
            <v/>
          </cell>
        </row>
        <row r="23">
          <cell r="L23" t="str">
            <v>ActivityDocument(ST)-Material(CSOD)Availability to All Users</v>
          </cell>
          <cell r="M23" t="b">
            <v>0</v>
          </cell>
        </row>
        <row r="24">
          <cell r="L24" t="str">
            <v>ActivityDocument(ST)-Material(CSOD)Availability to OU‡</v>
          </cell>
          <cell r="M24" t="str">
            <v/>
          </cell>
        </row>
        <row r="25">
          <cell r="L25" t="str">
            <v>ActivityDocument(ST)-Material(CSOD)Availability to Specific Users</v>
          </cell>
          <cell r="M25" t="str">
            <v/>
          </cell>
        </row>
        <row r="26">
          <cell r="L26" t="str">
            <v>ActivityDocument(ST)-Material(CSOD)Available Languages</v>
          </cell>
          <cell r="M26" t="str">
            <v/>
          </cell>
        </row>
        <row r="27">
          <cell r="L27" t="str">
            <v>ActivityDocument(ST)-Material(CSOD)Badge</v>
          </cell>
          <cell r="M27" t="str">
            <v/>
          </cell>
        </row>
        <row r="28">
          <cell r="L28" t="str">
            <v>ActivityDocument(ST)-Material(CSOD)Created/Modified By</v>
          </cell>
          <cell r="M28" t="str">
            <v/>
          </cell>
        </row>
        <row r="29">
          <cell r="L29" t="str">
            <v>ActivityDocument(ST)-Material(CSOD)Emails</v>
          </cell>
          <cell r="M29" t="str">
            <v>No Email</v>
          </cell>
        </row>
        <row r="30">
          <cell r="L30" t="str">
            <v>ActivityDocument(ST)-Material(CSOD)Exclude from Course Recommendations</v>
          </cell>
          <cell r="M30" t="b">
            <v>0</v>
          </cell>
        </row>
        <row r="31">
          <cell r="L31" t="str">
            <v>ActivityDocument(ST)-Material(CSOD)File Localization</v>
          </cell>
          <cell r="M31" t="str">
            <v>en-US</v>
          </cell>
        </row>
        <row r="32">
          <cell r="L32" t="str">
            <v>ActivityDocument(ST)-Material(CSOD)File Name</v>
          </cell>
          <cell r="M32" t="str">
            <v/>
          </cell>
        </row>
        <row r="33">
          <cell r="L33" t="str">
            <v>ActivityDocument(ST)-Material(CSOD)Include Subordinates</v>
          </cell>
          <cell r="M33" t="b">
            <v>0</v>
          </cell>
        </row>
        <row r="34">
          <cell r="L34" t="str">
            <v>ActivityDocument(ST)-Material(CSOD)Keywords</v>
          </cell>
          <cell r="M34" t="str">
            <v/>
          </cell>
        </row>
        <row r="35">
          <cell r="L35" t="str">
            <v>ActivityDocument(ST)-Material(CSOD)Mobile</v>
          </cell>
          <cell r="M35" t="b">
            <v>0</v>
          </cell>
        </row>
        <row r="36">
          <cell r="L36" t="str">
            <v>ActivityDocument(ST)-Material(CSOD)Points</v>
          </cell>
          <cell r="M36" t="str">
            <v/>
          </cell>
        </row>
        <row r="37">
          <cell r="L37" t="str">
            <v>ActivityDocument(ST)-Material(CSOD)Pre-Approved</v>
          </cell>
          <cell r="M37" t="b">
            <v>0</v>
          </cell>
        </row>
        <row r="38">
          <cell r="L38" t="str">
            <v>ActivityDocument(ST)-Material(CSOD)Provider type*</v>
          </cell>
          <cell r="M38" t="str">
            <v/>
          </cell>
        </row>
        <row r="39">
          <cell r="L39" t="str">
            <v>ActivityDocument(ST)-Material(CSOD)Recurrence</v>
          </cell>
          <cell r="M39">
            <v>0</v>
          </cell>
        </row>
        <row r="40">
          <cell r="L40" t="str">
            <v>ActivityDocument(ST)-Material(CSOD)Register Upon Approval</v>
          </cell>
          <cell r="M40" t="b">
            <v>0</v>
          </cell>
        </row>
        <row r="41">
          <cell r="L41" t="str">
            <v>ActivityDocument(ST)-Material(CSOD)Thumbnail</v>
          </cell>
          <cell r="M41" t="str">
            <v/>
          </cell>
        </row>
        <row r="42">
          <cell r="L42" t="str">
            <v>ActivityDocument(ST)-Material(CSOD)Training Purpose</v>
          </cell>
          <cell r="M42" t="str">
            <v/>
          </cell>
        </row>
        <row r="43">
          <cell r="L43" t="str">
            <v>ActivityDocument(ST)-Material(CSOD)URL</v>
          </cell>
          <cell r="M43" t="str">
            <v/>
          </cell>
        </row>
        <row r="44">
          <cell r="L44" t="str">
            <v>ActivityILTClass(ST)-Sessions(CSOD)Session ID*</v>
          </cell>
          <cell r="M44" t="str">
            <v/>
          </cell>
        </row>
        <row r="45">
          <cell r="L45" t="str">
            <v>ActivityILTClass(ST)-Sessions(CSOD)Part End Date/Time</v>
          </cell>
          <cell r="M45" t="str">
            <v/>
          </cell>
        </row>
        <row r="46">
          <cell r="L46" t="str">
            <v>ActivityILTClass(ST)-Sessions(CSOD)Part name</v>
          </cell>
          <cell r="M46" t="str">
            <v/>
          </cell>
        </row>
        <row r="47">
          <cell r="L47" t="str">
            <v>ActivityILTClass(ST)-Sessions(CSOD)Part Start Date/Time</v>
          </cell>
          <cell r="M47" t="str">
            <v/>
          </cell>
        </row>
        <row r="48">
          <cell r="L48" t="str">
            <v>ActivityILTClass(ST)-Sessions(CSOD)Training Contact</v>
          </cell>
          <cell r="M48" t="str">
            <v/>
          </cell>
        </row>
        <row r="49">
          <cell r="L49" t="str">
            <v>ActivityILTClass(ST)-Sessions(CSOD)Event ID</v>
          </cell>
          <cell r="M49" t="str">
            <v/>
          </cell>
        </row>
        <row r="50">
          <cell r="L50" t="str">
            <v>ActivityILTClass(ST)-Sessions(CSOD)Part Instructor</v>
          </cell>
          <cell r="M50" t="str">
            <v/>
          </cell>
        </row>
        <row r="51">
          <cell r="L51" t="str">
            <v>ActivityILTClass(ST)-Sessions(CSOD)Part Location</v>
          </cell>
          <cell r="M51" t="str">
            <v/>
          </cell>
        </row>
        <row r="52">
          <cell r="L52" t="str">
            <v>ActivityILTClass(ST)-Sessions(CSOD)Maximum Users</v>
          </cell>
          <cell r="M52" t="str">
            <v/>
          </cell>
        </row>
        <row r="53">
          <cell r="L53" t="str">
            <v>ActivityILTClass(ST)-Sessions(CSOD)Minimum Users</v>
          </cell>
          <cell r="M53" t="str">
            <v/>
          </cell>
        </row>
        <row r="54">
          <cell r="L54" t="str">
            <v>ActivityILTClass(ST)-Sessions(CSOD)Vendor/Provider</v>
          </cell>
          <cell r="M54" t="str">
            <v/>
          </cell>
        </row>
        <row r="55">
          <cell r="L55" t="str">
            <v>ActivityILTClass(ST)-Sessions(CSOD)Part Timezone</v>
          </cell>
          <cell r="M55" t="str">
            <v/>
          </cell>
        </row>
        <row r="56">
          <cell r="L56" t="str">
            <v>ActivityILTClass(ST)-Sessions(CSOD)Allow waitlist for sessions</v>
          </cell>
          <cell r="M56" t="str">
            <v/>
          </cell>
        </row>
        <row r="57">
          <cell r="L57" t="str">
            <v>ActivityILTClass(ST)-Sessions(CSOD)Allow Auto-Management of Waitlist‡</v>
          </cell>
          <cell r="M57" t="str">
            <v/>
          </cell>
        </row>
        <row r="58">
          <cell r="L58" t="str">
            <v>ActivityILTClass(ST)-Sessions(CSOD)Attendance Parts</v>
          </cell>
          <cell r="M58">
            <v>1</v>
          </cell>
        </row>
        <row r="59">
          <cell r="L59" t="str">
            <v>ActivityILTClass(ST)-Sessions(CSOD)Auto-Register User upon Granting Waitlist‡</v>
          </cell>
          <cell r="M59" t="str">
            <v/>
          </cell>
        </row>
        <row r="60">
          <cell r="L60" t="str">
            <v>ActivityILTClass(ST)-Sessions(CSOD)Availability to All Users</v>
          </cell>
          <cell r="M60" t="str">
            <v/>
          </cell>
        </row>
        <row r="61">
          <cell r="L61" t="str">
            <v>ActivityILTClass(ST)-Sessions(CSOD)Available Languages</v>
          </cell>
          <cell r="M61" t="str">
            <v/>
          </cell>
        </row>
        <row r="62">
          <cell r="L62" t="str">
            <v>ActivityILTClass(ST)-Sessions(CSOD)Cancellation Comment</v>
          </cell>
          <cell r="M62" t="str">
            <v/>
          </cell>
        </row>
        <row r="63">
          <cell r="L63" t="str">
            <v>ActivityILTClass(ST)-Sessions(CSOD)Cancellation Reason</v>
          </cell>
          <cell r="M63" t="str">
            <v/>
          </cell>
        </row>
        <row r="64">
          <cell r="L64" t="str">
            <v>ActivityILTClass(ST)-Sessions(CSOD)Copy Availability from its Event</v>
          </cell>
          <cell r="M64" t="str">
            <v/>
          </cell>
        </row>
        <row r="65">
          <cell r="L65" t="str">
            <v>ActivityILTClass(ST)-Sessions(CSOD)Currency Code</v>
          </cell>
          <cell r="M65" t="str">
            <v/>
          </cell>
        </row>
        <row r="66">
          <cell r="L66" t="str">
            <v>ActivityILTClass(ST)-Sessions(CSOD)Default Training Unit Price</v>
          </cell>
          <cell r="M66" t="str">
            <v/>
          </cell>
        </row>
        <row r="67">
          <cell r="L67" t="str">
            <v>ActivityILTClass(ST)-Sessions(CSOD)Display Times in TimeZone of User</v>
          </cell>
          <cell r="M67" t="str">
            <v/>
          </cell>
        </row>
        <row r="68">
          <cell r="L68" t="str">
            <v>ActivityILTClass(ST)-Sessions(CSOD)Do not allow exception request</v>
          </cell>
          <cell r="M68" t="str">
            <v/>
          </cell>
        </row>
        <row r="69">
          <cell r="L69" t="str">
            <v>ActivityILTClass(ST)-Sessions(CSOD)Emails</v>
          </cell>
          <cell r="M69" t="str">
            <v>No Email</v>
          </cell>
        </row>
        <row r="70">
          <cell r="L70" t="str">
            <v>ActivityILTClass(ST)-Sessions(CSOD)Includes Subordinates</v>
          </cell>
          <cell r="M70" t="str">
            <v/>
          </cell>
        </row>
        <row r="71">
          <cell r="L71" t="str">
            <v>ActivityILTClass(ST)-Sessions(CSOD)No-show Penalty – Monetary</v>
          </cell>
          <cell r="M71" t="str">
            <v/>
          </cell>
        </row>
        <row r="72">
          <cell r="L72" t="str">
            <v>ActivityILTClass(ST)-Sessions(CSOD)No-show Penalty – Training Units</v>
          </cell>
          <cell r="M72" t="str">
            <v/>
          </cell>
        </row>
        <row r="73">
          <cell r="L73" t="str">
            <v>ActivityILTClass(ST)-Sessions(CSOD)Part Break Duration</v>
          </cell>
          <cell r="M73">
            <v>1</v>
          </cell>
        </row>
        <row r="74">
          <cell r="L74" t="str">
            <v>ActivityILTClass(ST)-Sessions(CSOD)Penalty Number of Days prior to start</v>
          </cell>
          <cell r="M74" t="str">
            <v/>
          </cell>
        </row>
        <row r="75">
          <cell r="L75" t="str">
            <v>ActivityILTClass(ST)-Sessions(CSOD)Pre-Approved</v>
          </cell>
          <cell r="M75" t="str">
            <v/>
          </cell>
        </row>
        <row r="76">
          <cell r="L76" t="str">
            <v>ActivityILTClass(ST)-Sessions(CSOD)Price Per Session</v>
          </cell>
          <cell r="M76" t="str">
            <v/>
          </cell>
        </row>
        <row r="77">
          <cell r="L77" t="str">
            <v>ActivityILTClass(ST)-Sessions(CSOD)Refund Amount‡</v>
          </cell>
          <cell r="M77" t="str">
            <v/>
          </cell>
        </row>
        <row r="78">
          <cell r="L78" t="str">
            <v>ActivityILTClass(ST)-Sessions(CSOD)Refund Number of Days prior to start‡</v>
          </cell>
          <cell r="M78" t="str">
            <v/>
          </cell>
        </row>
        <row r="79">
          <cell r="L79" t="str">
            <v>ActivityILTClass(ST)-Sessions(CSOD)Refund Percentage‡</v>
          </cell>
          <cell r="M79" t="str">
            <v/>
          </cell>
        </row>
        <row r="80">
          <cell r="L80" t="str">
            <v>ActivityILTClass(ST)-Sessions(CSOD)Refund Type</v>
          </cell>
          <cell r="M80" t="str">
            <v/>
          </cell>
        </row>
        <row r="81">
          <cell r="L81" t="str">
            <v>ActivityILTClass(ST)-Sessions(CSOD)Register Upon Approval</v>
          </cell>
          <cell r="M81" t="str">
            <v/>
          </cell>
        </row>
        <row r="82">
          <cell r="L82" t="str">
            <v>ActivityILTClass(ST)-Sessions(CSOD)Registration Deadline</v>
          </cell>
          <cell r="M82">
            <v>0</v>
          </cell>
        </row>
        <row r="83">
          <cell r="L83" t="str">
            <v>ActivityILTClass(ST)-Sessions(CSOD)Registration Deadline - Before/After</v>
          </cell>
          <cell r="M83" t="str">
            <v/>
          </cell>
        </row>
        <row r="84">
          <cell r="L84" t="str">
            <v>ActivityILTClass(ST)-Sessions(CSOD)Request Form</v>
          </cell>
          <cell r="M84" t="str">
            <v/>
          </cell>
        </row>
        <row r="85">
          <cell r="L85" t="str">
            <v>ActivityILTClass(ST)-Sessions(CSOD)Required Completion Approvals</v>
          </cell>
          <cell r="M85" t="str">
            <v/>
          </cell>
        </row>
        <row r="86">
          <cell r="L86" t="str">
            <v>ActivityILTClass(ST)-Sessions(CSOD)Required Training Approvals</v>
          </cell>
          <cell r="M86" t="str">
            <v/>
          </cell>
        </row>
        <row r="87">
          <cell r="L87" t="str">
            <v>ActivityILTClass(ST)-Sessions(CSOD)Restrict Withdraw from Session</v>
          </cell>
          <cell r="M87" t="str">
            <v/>
          </cell>
        </row>
        <row r="88">
          <cell r="L88" t="str">
            <v>ActivityILTClass(ST)-Sessions(CSOD)Session Status</v>
          </cell>
          <cell r="M88" t="str">
            <v/>
          </cell>
        </row>
        <row r="89">
          <cell r="L89" t="str">
            <v>ActivityILTClass(ST)-Sessions(CSOD)Training Units</v>
          </cell>
          <cell r="M89" t="str">
            <v/>
          </cell>
        </row>
        <row r="90">
          <cell r="L90" t="str">
            <v>ActivityILTClass(ST)-Sessions(CSOD)Withdrawal Penalty Amount</v>
          </cell>
          <cell r="M90" t="str">
            <v/>
          </cell>
        </row>
        <row r="91">
          <cell r="L91" t="str">
            <v>ActivityILTClass(ST)-Sessions(CSOD)Withdrawal Penalty Percentage</v>
          </cell>
          <cell r="M91" t="str">
            <v/>
          </cell>
        </row>
        <row r="92">
          <cell r="L92" t="str">
            <v>ActivityILTCourse(ST)-Events(CSOD)Active</v>
          </cell>
          <cell r="M92" t="b">
            <v>1</v>
          </cell>
        </row>
        <row r="93">
          <cell r="L93" t="str">
            <v>ActivityILTCourse(ST)-Events(CSOD)Event ID*</v>
          </cell>
          <cell r="M93" t="str">
            <v/>
          </cell>
        </row>
        <row r="94">
          <cell r="L94" t="str">
            <v>ActivityILTCourse(ST)-Events(CSOD)Event Description</v>
          </cell>
          <cell r="M94" t="str">
            <v/>
          </cell>
        </row>
        <row r="95">
          <cell r="L95" t="str">
            <v>ActivityILTCourse(ST)-Events(CSOD)Event Name*</v>
          </cell>
          <cell r="M95" t="str">
            <v/>
          </cell>
        </row>
        <row r="96">
          <cell r="L96" t="str">
            <v>ActivityILTCourse(ST)-Events(CSOD)Competency IDs</v>
          </cell>
          <cell r="M96" t="str">
            <v/>
          </cell>
        </row>
        <row r="97">
          <cell r="L97" t="str">
            <v>ActivityILTCourse(ST)-Events(CSOD)Credits</v>
          </cell>
          <cell r="M97">
            <v>0</v>
          </cell>
        </row>
        <row r="98">
          <cell r="L98" t="str">
            <v>ActivityILTCourse(ST)-Events(CSOD)Training Hours</v>
          </cell>
          <cell r="M98" t="str">
            <v>0000:00:00</v>
          </cell>
        </row>
        <row r="99">
          <cell r="L99" t="str">
            <v>ActivityILTCourse(ST)-Events(CSOD)Allow Interest Tracking</v>
          </cell>
          <cell r="M99" t="b">
            <v>1</v>
          </cell>
        </row>
        <row r="100">
          <cell r="L100" t="str">
            <v>ActivityILTCourse(ST)-Events(CSOD)Preferred Instructors</v>
          </cell>
          <cell r="M100" t="str">
            <v/>
          </cell>
        </row>
        <row r="101">
          <cell r="L101" t="str">
            <v>ActivityILTCourse(ST)-Events(CSOD)Default Language</v>
          </cell>
          <cell r="M101" t="str">
            <v/>
          </cell>
        </row>
        <row r="102">
          <cell r="L102" t="str">
            <v>ActivityILTCourse(ST)-Events(CSOD)Maximum Users</v>
          </cell>
          <cell r="M102">
            <v>75</v>
          </cell>
        </row>
        <row r="103">
          <cell r="L103" t="str">
            <v>ActivityILTCourse(ST)-Events(CSOD)Minimum Users</v>
          </cell>
          <cell r="M103">
            <v>0</v>
          </cell>
        </row>
        <row r="104">
          <cell r="L104" t="str">
            <v>ActivityILTCourse(ST)-Events(CSOD)Skills</v>
          </cell>
          <cell r="M104" t="str">
            <v/>
          </cell>
        </row>
        <row r="105">
          <cell r="L105" t="str">
            <v>ActivityILTCourse(ST)-Events(CSOD)Subject IDs*</v>
          </cell>
          <cell r="M105" t="str">
            <v/>
          </cell>
        </row>
        <row r="106">
          <cell r="L106" t="str">
            <v>ActivityILTCourse(ST)-Events(CSOD)Ability To Select Session</v>
          </cell>
          <cell r="M106" t="str">
            <v/>
          </cell>
        </row>
        <row r="107">
          <cell r="L107" t="str">
            <v>ActivityILTCourse(ST)-Events(CSOD)Allow Auto-Management of Waitlist‡</v>
          </cell>
          <cell r="M107" t="str">
            <v>Time based</v>
          </cell>
        </row>
        <row r="108">
          <cell r="L108" t="str">
            <v>ActivityILTCourse(ST)-Events(CSOD)Allow Users to Attend Multiple Sessions </v>
          </cell>
          <cell r="M108" t="b">
            <v>1</v>
          </cell>
        </row>
        <row r="109">
          <cell r="L109" t="str">
            <v>ActivityILTCourse(ST)-Events(CSOD)Allow waitlist for sessions</v>
          </cell>
          <cell r="M109" t="b">
            <v>1</v>
          </cell>
        </row>
        <row r="110">
          <cell r="L110" t="str">
            <v>ActivityILTCourse(ST)-Events(CSOD)Auto-Register User upon Granting Waitlist‡</v>
          </cell>
          <cell r="M110" t="b">
            <v>1</v>
          </cell>
        </row>
        <row r="111">
          <cell r="L111" t="str">
            <v>ActivityILTCourse(ST)-Events(CSOD)Badge</v>
          </cell>
          <cell r="M111" t="str">
            <v/>
          </cell>
        </row>
        <row r="112">
          <cell r="L112" t="str">
            <v>ActivityILTCourse(ST)-Events(CSOD)Copy Availability to New Sessions</v>
          </cell>
          <cell r="M112" t="b">
            <v>1</v>
          </cell>
        </row>
        <row r="113">
          <cell r="L113" t="str">
            <v>ActivityILTCourse(ST)-Events(CSOD)Currency Code</v>
          </cell>
          <cell r="M113" t="str">
            <v/>
          </cell>
        </row>
        <row r="114">
          <cell r="L114" t="str">
            <v>ActivityILTCourse(ST)-Events(CSOD)Default Training Unit Price</v>
          </cell>
          <cell r="M114">
            <v>0</v>
          </cell>
        </row>
        <row r="115">
          <cell r="L115" t="str">
            <v>ActivityILTCourse(ST)-Events(CSOD)Display Session Time In User Time</v>
          </cell>
          <cell r="M115" t="b">
            <v>0</v>
          </cell>
        </row>
        <row r="116">
          <cell r="L116" t="str">
            <v>ActivityILTCourse(ST)-Events(CSOD)Limit Users To One Waitlist Per Event</v>
          </cell>
          <cell r="M116" t="b">
            <v>0</v>
          </cell>
        </row>
        <row r="117">
          <cell r="L117" t="str">
            <v>ActivityILTCourse(ST)-Events(CSOD)No-show Penalty – Monetary</v>
          </cell>
          <cell r="M117">
            <v>0</v>
          </cell>
        </row>
        <row r="118">
          <cell r="L118" t="str">
            <v>ActivityILTCourse(ST)-Events(CSOD)No-show Penalty – Training Units</v>
          </cell>
          <cell r="M118">
            <v>0</v>
          </cell>
        </row>
        <row r="119">
          <cell r="L119" t="str">
            <v>ActivityILTCourse(ST)-Events(CSOD)Objectives</v>
          </cell>
          <cell r="M119" t="str">
            <v/>
          </cell>
        </row>
        <row r="120">
          <cell r="L120" t="str">
            <v>ActivityILTCourse(ST)-Events(CSOD)Penalty Number of Days prior to start</v>
          </cell>
          <cell r="M120">
            <v>0</v>
          </cell>
        </row>
        <row r="121">
          <cell r="L121" t="str">
            <v>ActivityILTCourse(ST)-Events(CSOD)Provide cost of Event</v>
          </cell>
          <cell r="M121">
            <v>0</v>
          </cell>
        </row>
        <row r="122">
          <cell r="L122" t="str">
            <v>ActivityILTCourse(ST)-Events(CSOD)Refund Amount‡</v>
          </cell>
          <cell r="M122">
            <v>0</v>
          </cell>
        </row>
        <row r="123">
          <cell r="L123" t="str">
            <v>ActivityILTCourse(ST)-Events(CSOD)Refund Number of Days prior to start‡</v>
          </cell>
          <cell r="M123">
            <v>0</v>
          </cell>
        </row>
        <row r="124">
          <cell r="L124" t="str">
            <v>ActivityILTCourse(ST)-Events(CSOD)Refund Percentage‡</v>
          </cell>
          <cell r="M124">
            <v>0</v>
          </cell>
        </row>
        <row r="125">
          <cell r="L125" t="str">
            <v>ActivityILTCourse(ST)-Events(CSOD)Refund Type</v>
          </cell>
          <cell r="M125" t="str">
            <v/>
          </cell>
        </row>
        <row r="126">
          <cell r="L126" t="str">
            <v>ActivityILTCourse(ST)-Events(CSOD)Registration Deadline - Before/After</v>
          </cell>
          <cell r="M126" t="str">
            <v>Before</v>
          </cell>
        </row>
        <row r="127">
          <cell r="L127" t="str">
            <v>ActivityILTCourse(ST)-Events(CSOD)Restrict Withdraw from Session</v>
          </cell>
          <cell r="M127" t="b">
            <v>0</v>
          </cell>
        </row>
        <row r="128">
          <cell r="L128" t="str">
            <v>ActivityILTCourse(ST)-Events(CSOD)Secondary Vendor/Provider</v>
          </cell>
          <cell r="M128" t="str">
            <v/>
          </cell>
        </row>
        <row r="129">
          <cell r="L129" t="str">
            <v>ActivityILTCourse(ST)-Events(CSOD)Withdrawal  Penalty Amount</v>
          </cell>
          <cell r="M129">
            <v>0</v>
          </cell>
        </row>
        <row r="130">
          <cell r="L130" t="str">
            <v>ActivityILTCourse(ST)-Events(CSOD)Withdrawal Penalty Percentage</v>
          </cell>
          <cell r="M130">
            <v>0</v>
          </cell>
        </row>
        <row r="131">
          <cell r="L131" t="str">
            <v>ActivityILTSessions(ST)-SessionParts(CSOD)Description</v>
          </cell>
          <cell r="M131" t="str">
            <v/>
          </cell>
        </row>
        <row r="132">
          <cell r="L132" t="str">
            <v>ActivityILTSessions(ST)-SessionParts(CSOD)End Date/Time</v>
          </cell>
          <cell r="M132" t="str">
            <v/>
          </cell>
        </row>
        <row r="133">
          <cell r="L133" t="str">
            <v>ActivityILTSessions(ST)-SessionParts(CSOD)Instructor</v>
          </cell>
          <cell r="M133" t="str">
            <v/>
          </cell>
        </row>
        <row r="134">
          <cell r="L134" t="str">
            <v>ActivityILTSessions(ST)-SessionParts(CSOD)Location</v>
          </cell>
          <cell r="M134" t="str">
            <v/>
          </cell>
        </row>
        <row r="135">
          <cell r="L135" t="str">
            <v>ActivityILTSessions(ST)-SessionParts(CSOD)Part Name</v>
          </cell>
          <cell r="M135" t="str">
            <v/>
          </cell>
        </row>
        <row r="136">
          <cell r="L136" t="str">
            <v>ActivityILTSessions(ST)-SessionParts(CSOD)Start Date/Time*</v>
          </cell>
          <cell r="M136" t="str">
            <v/>
          </cell>
        </row>
        <row r="137">
          <cell r="L137" t="str">
            <v>ActivityILTSessions(ST)-SessionParts(CSOD)Time Zone ID</v>
          </cell>
          <cell r="M137" t="str">
            <v/>
          </cell>
        </row>
        <row r="138">
          <cell r="L138" t="str">
            <v>ActivityILTSessions(ST)-SessionParts(CSOD)Display Times in TimeZone of User</v>
          </cell>
          <cell r="M138" t="b">
            <v>1</v>
          </cell>
        </row>
        <row r="139">
          <cell r="L139" t="str">
            <v>ActivityILTSessions(ST)-SessionParts(CSOD)New Start Date/Time</v>
          </cell>
          <cell r="M139" t="str">
            <v/>
          </cell>
        </row>
        <row r="140">
          <cell r="L140" t="str">
            <v>ActivityILTSessions(ST)-SessionParts(CSOD)Part Break</v>
          </cell>
          <cell r="M140" t="str">
            <v/>
          </cell>
        </row>
        <row r="141">
          <cell r="L141" t="str">
            <v>ActivityOnlineCourse(ST)-OnlineCourse(CSOD)Online Course ID*</v>
          </cell>
          <cell r="M141" t="str">
            <v/>
          </cell>
        </row>
        <row r="142">
          <cell r="L142" t="str">
            <v>ActivityOnlineCourse(ST)-OnlineCourse(CSOD)Online Course Description</v>
          </cell>
          <cell r="M142" t="str">
            <v/>
          </cell>
        </row>
        <row r="143">
          <cell r="L143" t="str">
            <v>ActivityOnlineCourse(ST)-OnlineCourse(CSOD)Online Course Name*</v>
          </cell>
          <cell r="M143" t="str">
            <v/>
          </cell>
        </row>
        <row r="144">
          <cell r="L144" t="str">
            <v>ActivityOnlineCourse(ST)-OnlineCourse(CSOD)Training Hours</v>
          </cell>
          <cell r="M144" t="str">
            <v/>
          </cell>
        </row>
        <row r="145">
          <cell r="L145" t="str">
            <v>ActivityOnlineCourse(ST)-OnlineCourse(CSOD)Allow Download</v>
          </cell>
          <cell r="M145" t="b">
            <v>0</v>
          </cell>
        </row>
        <row r="146">
          <cell r="L146" t="str">
            <v>ActivityOnlineCourse(ST)-OnlineCourse(CSOD)Available Offline - Allow download for offline consumption</v>
          </cell>
          <cell r="M146" t="b">
            <v>0</v>
          </cell>
        </row>
        <row r="147">
          <cell r="L147" t="str">
            <v>ActivityOnlineCourse(ST)-OnlineCourse(CSOD)Available Offline - Allow launch from offline network location‡</v>
          </cell>
          <cell r="M147" t="b">
            <v>0</v>
          </cell>
        </row>
        <row r="148">
          <cell r="L148" t="str">
            <v>ActivityOnlineCourse(ST)-OnlineCourse(CSOD)Competency IDs</v>
          </cell>
          <cell r="M148" t="str">
            <v/>
          </cell>
        </row>
        <row r="149">
          <cell r="L149" t="str">
            <v>ActivityOnlineCourse(ST)-OnlineCourse(CSOD)File Name*</v>
          </cell>
          <cell r="M149" t="str">
            <v/>
          </cell>
        </row>
        <row r="150">
          <cell r="L150" t="str">
            <v>ActivityOnlineCourse(ST)-OnlineCourse(CSOD)Height Screen Resolution</v>
          </cell>
          <cell r="M150" t="str">
            <v/>
          </cell>
        </row>
        <row r="151">
          <cell r="L151" t="str">
            <v>ActivityOnlineCourse(ST)-OnlineCourse(CSOD)Provider type*</v>
          </cell>
          <cell r="M151" t="str">
            <v/>
          </cell>
        </row>
        <row r="152">
          <cell r="L152" t="str">
            <v>ActivityOnlineCourse(ST)-OnlineCourse(CSOD)Skills</v>
          </cell>
          <cell r="M152" t="str">
            <v/>
          </cell>
        </row>
        <row r="153">
          <cell r="L153" t="str">
            <v>ActivityOnlineCourse(ST)-OnlineCourse(CSOD)Width Screen Resolution</v>
          </cell>
          <cell r="M153" t="str">
            <v/>
          </cell>
        </row>
        <row r="154">
          <cell r="L154" t="str">
            <v>ActivityQuickAssessment(ST)-Test(CSOD)Test ID*</v>
          </cell>
          <cell r="M154" t="str">
            <v/>
          </cell>
        </row>
        <row r="155">
          <cell r="L155" t="str">
            <v>ActivityQuickAssessment(ST)-Test(CSOD)Test Description</v>
          </cell>
          <cell r="M155" t="str">
            <v/>
          </cell>
        </row>
        <row r="156">
          <cell r="L156" t="str">
            <v>ActivityQuickAssessment(ST)-Test(CSOD)Test Title*</v>
          </cell>
          <cell r="M156" t="str">
            <v/>
          </cell>
        </row>
        <row r="157">
          <cell r="L157" t="str">
            <v>ActivityQuickAssessment(ST)-Test(CSOD)Allow Review After Every Attempt</v>
          </cell>
          <cell r="M157" t="b">
            <v>0</v>
          </cell>
        </row>
        <row r="158">
          <cell r="L158" t="str">
            <v>ActivityQuickAssessment(ST)-Test(CSOD)Allow Test Review - User</v>
          </cell>
          <cell r="M158" t="b">
            <v>0</v>
          </cell>
        </row>
        <row r="159">
          <cell r="L159" t="str">
            <v>ActivityQuickAssessment(ST)-Test(CSOD)Time Limit</v>
          </cell>
          <cell r="M159" t="str">
            <v/>
          </cell>
        </row>
        <row r="160">
          <cell r="L160" t="str">
            <v>ActivityQuickAssessment(ST)-Test(CSOD)Training Hours</v>
          </cell>
          <cell r="M160" t="str">
            <v/>
          </cell>
        </row>
        <row r="161">
          <cell r="L161" t="str">
            <v>ActivityQuickAssessment(ST)-Test(CSOD)Passing Score Percentage</v>
          </cell>
          <cell r="M161" t="str">
            <v/>
          </cell>
        </row>
        <row r="162">
          <cell r="L162" t="str">
            <v>ActivityQuickAssessment(ST)-Test(CSOD)Question Reference Number</v>
          </cell>
          <cell r="M162" t="str">
            <v/>
          </cell>
        </row>
        <row r="163">
          <cell r="L163" t="str">
            <v>ActivityQuickAssessment(ST)-Test(CSOD)Randomize Questions</v>
          </cell>
          <cell r="M163" t="b">
            <v>0</v>
          </cell>
        </row>
        <row r="164">
          <cell r="L164" t="str">
            <v>ActivityQuickAssessment(ST)-Test(CSOD)Allow Test Review - Manager</v>
          </cell>
          <cell r="M164" t="b">
            <v>0</v>
          </cell>
        </row>
        <row r="165">
          <cell r="L165" t="str">
            <v>ActivityQuickAssessment(ST)-Test(CSOD)Attempts Allowed</v>
          </cell>
          <cell r="M165" t="str">
            <v/>
          </cell>
        </row>
        <row r="166">
          <cell r="L166" t="str">
            <v>ActivityQuickAssessment(ST)-Test(CSOD)Early Exit</v>
          </cell>
          <cell r="M166" t="str">
            <v/>
          </cell>
        </row>
        <row r="167">
          <cell r="L167" t="str">
            <v>ActivityQuickAssessment(ST)-Test(CSOD)Lockout</v>
          </cell>
          <cell r="M167" t="b">
            <v>0</v>
          </cell>
        </row>
        <row r="168">
          <cell r="L168" t="str">
            <v>ActivityQuickAssessment(ST)-Test(CSOD)Lockout Duration</v>
          </cell>
          <cell r="M168" t="str">
            <v/>
          </cell>
        </row>
        <row r="169">
          <cell r="L169" t="str">
            <v>ActivityQuickAssessment(ST)-Test(CSOD)Lockout Type</v>
          </cell>
          <cell r="M169" t="str">
            <v/>
          </cell>
        </row>
        <row r="170">
          <cell r="L170" t="str">
            <v>ActivityQuickAssessment(ST)-Test(CSOD)Randomize Sections</v>
          </cell>
          <cell r="M170" t="b">
            <v>0</v>
          </cell>
        </row>
        <row r="171">
          <cell r="L171" t="str">
            <v>ActivityQuickAssessment(ST)-Test(CSOD)Review Level</v>
          </cell>
          <cell r="M171" t="str">
            <v/>
          </cell>
        </row>
        <row r="172">
          <cell r="L172" t="str">
            <v>ActivityQuickAssessment(ST)-Test(CSOD)Test Instructions</v>
          </cell>
          <cell r="M172" t="str">
            <v/>
          </cell>
        </row>
        <row r="173">
          <cell r="L173" t="str">
            <v>ActivityQuickAssessment(ST)-Test(CSOD)Thumbnail</v>
          </cell>
          <cell r="M173" t="str">
            <v/>
          </cell>
        </row>
        <row r="174">
          <cell r="L174" t="str">
            <v>ActivityQuickAssessment(ST)-Test(CSOD)View Test Score - Manager</v>
          </cell>
          <cell r="M174" t="b">
            <v>0</v>
          </cell>
        </row>
        <row r="175">
          <cell r="L175" t="str">
            <v>ActivityQuickAssessment(ST)-Test(CSOD)View Test Score - User</v>
          </cell>
          <cell r="M175" t="b">
            <v>0</v>
          </cell>
        </row>
        <row r="176">
          <cell r="L176" t="str">
            <v>ActivityQuickAssessment(ST)-TestMapping(CSOD)Test ID</v>
          </cell>
          <cell r="M176" t="str">
            <v/>
          </cell>
        </row>
        <row r="177">
          <cell r="L177" t="str">
            <v>ActivityQuickAssessment(ST)-TestMapping(CSOD)Question Reference Number</v>
          </cell>
          <cell r="M177" t="str">
            <v/>
          </cell>
        </row>
        <row r="178">
          <cell r="L178" t="str">
            <v>ActivityQuickAssessment(ST)-TestMapping(CSOD)Always Include Question</v>
          </cell>
          <cell r="M178" t="b">
            <v>0</v>
          </cell>
        </row>
        <row r="179">
          <cell r="L179" t="str">
            <v>ActivityQuickAssessment(ST)-TestMapping(CSOD)Order Number</v>
          </cell>
          <cell r="M179">
            <v>1</v>
          </cell>
        </row>
        <row r="180">
          <cell r="L180" t="str">
            <v>ActivityQuickAssessment(ST)-TestMapping(CSOD)Questions per Section Display</v>
          </cell>
          <cell r="M180">
            <v>1</v>
          </cell>
        </row>
        <row r="181">
          <cell r="L181" t="str">
            <v>ActivityQuickAssessment(ST)-TestMapping(CSOD)Section Description</v>
          </cell>
          <cell r="M181" t="str">
            <v/>
          </cell>
        </row>
        <row r="182">
          <cell r="L182" t="str">
            <v>ActivityQuickAssessment(ST)-TestMapping(CSOD)Section Name</v>
          </cell>
          <cell r="M182" t="str">
            <v/>
          </cell>
        </row>
        <row r="183">
          <cell r="L183" t="str">
            <v>ActivityQuickAssessment(ST)-TestMapping(CSOD)Section Number</v>
          </cell>
          <cell r="M183" t="str">
            <v/>
          </cell>
        </row>
        <row r="184">
          <cell r="L184" t="str">
            <v>CoreAudience(ST)-GroupsOU(CSOD)Active</v>
          </cell>
          <cell r="M184">
            <v>1</v>
          </cell>
        </row>
        <row r="185">
          <cell r="L185" t="str">
            <v>CoreAudience(ST)-GroupsOU(CSOD)OU ID*</v>
          </cell>
          <cell r="M185" t="str">
            <v/>
          </cell>
        </row>
        <row r="186">
          <cell r="L186" t="str">
            <v>CoreAudience(ST)-GroupsOU(CSOD)Description</v>
          </cell>
          <cell r="M186" t="str">
            <v/>
          </cell>
        </row>
        <row r="187">
          <cell r="L187" t="str">
            <v>CoreAudience(ST)-GroupsOU(CSOD)OU Name*</v>
          </cell>
          <cell r="M187" t="str">
            <v/>
          </cell>
        </row>
        <row r="188">
          <cell r="L188" t="str">
            <v>CoreAudience(ST)-GroupsOU(CSOD)Allow Reconciliation</v>
          </cell>
          <cell r="M188">
            <v>0</v>
          </cell>
        </row>
        <row r="189">
          <cell r="L189" t="str">
            <v>CoreAudience(ST)-GroupsOU(CSOD)Parent ID</v>
          </cell>
          <cell r="M189" t="str">
            <v/>
          </cell>
        </row>
        <row r="190">
          <cell r="L190" t="str">
            <v>CoreAudience(ST)-GroupsOU(CSOD)Owner ID</v>
          </cell>
          <cell r="M190" t="str">
            <v/>
          </cell>
        </row>
        <row r="191">
          <cell r="L191" t="str">
            <v>CoreAudience(ST)-GroupsOU(CSOD)Freeze Group Processing</v>
          </cell>
          <cell r="M191">
            <v>0</v>
          </cell>
        </row>
        <row r="192">
          <cell r="L192" t="str">
            <v>CoreDomain(ST)-DivisionOU(CSOD)OU ID*</v>
          </cell>
          <cell r="M192" t="str">
            <v/>
          </cell>
        </row>
        <row r="193">
          <cell r="L193" t="str">
            <v>CoreDomain(ST)-DivisionOU(CSOD)Description</v>
          </cell>
          <cell r="M193" t="str">
            <v/>
          </cell>
        </row>
        <row r="194">
          <cell r="L194" t="str">
            <v>CoreDomain(ST)-DivisionOU(CSOD)OU Name*</v>
          </cell>
          <cell r="M194" t="str">
            <v/>
          </cell>
        </row>
        <row r="195">
          <cell r="L195" t="str">
            <v>CoreDomain(ST)-DivisionOU(CSOD)Owner ID</v>
          </cell>
          <cell r="M195" t="str">
            <v/>
          </cell>
        </row>
        <row r="196">
          <cell r="L196" t="str">
            <v>CoreDomain(ST)-DivisionOU(CSOD)Parent ID</v>
          </cell>
          <cell r="M196" t="str">
            <v/>
          </cell>
        </row>
        <row r="197">
          <cell r="L197" t="str">
            <v>CoreDomain(ST)-DivisionOU(CSOD)Active</v>
          </cell>
          <cell r="M197">
            <v>1</v>
          </cell>
        </row>
        <row r="198">
          <cell r="L198" t="str">
            <v>CoreEmployee(ST)-Employee-CHR(CSOD)Status</v>
          </cell>
          <cell r="M198" t="str">
            <v/>
          </cell>
        </row>
        <row r="199">
          <cell r="L199" t="str">
            <v>CoreEmployee(ST)-Employee-CHR(CSOD)Address Line 1</v>
          </cell>
          <cell r="M199" t="str">
            <v/>
          </cell>
        </row>
        <row r="200">
          <cell r="L200" t="str">
            <v>CoreEmployee(ST)-Employee-CHR(CSOD)Address Line 2</v>
          </cell>
          <cell r="M200" t="str">
            <v/>
          </cell>
        </row>
        <row r="201">
          <cell r="L201" t="str">
            <v>CoreEmployee(ST)-Employee-CHR(CSOD)City</v>
          </cell>
          <cell r="M201" t="str">
            <v/>
          </cell>
        </row>
        <row r="202">
          <cell r="L202" t="str">
            <v>CoreEmployee(ST)-Employee-CHR(CSOD)Country</v>
          </cell>
          <cell r="M202" t="str">
            <v/>
          </cell>
        </row>
        <row r="203">
          <cell r="L203" t="str">
            <v>CoreEmployee(ST)-Employee-CHR(CSOD)Email</v>
          </cell>
          <cell r="M203" t="str">
            <v/>
          </cell>
        </row>
        <row r="204">
          <cell r="L204" t="str">
            <v>CoreEmployee(ST)-Employee-CHR(CSOD)Personal Email</v>
          </cell>
          <cell r="M204" t="str">
            <v/>
          </cell>
        </row>
        <row r="205">
          <cell r="L205" t="str">
            <v>CoreEmployee(ST)-Employee-CHR(CSOD)Ethnicity</v>
          </cell>
          <cell r="M205" t="str">
            <v/>
          </cell>
        </row>
        <row r="206">
          <cell r="L206" t="str">
            <v>CoreEmployee(ST)-Employee-CHR(CSOD)Fax</v>
          </cell>
          <cell r="M206" t="str">
            <v/>
          </cell>
        </row>
        <row r="207">
          <cell r="L207" t="str">
            <v>CoreEmployee(ST)-Employee-CHR(CSOD)First Name*</v>
          </cell>
          <cell r="M207" t="str">
            <v/>
          </cell>
        </row>
        <row r="208">
          <cell r="L208" t="str">
            <v>CoreEmployee(ST)-Employee-CHR(CSOD)Gender</v>
          </cell>
          <cell r="M208" t="str">
            <v/>
          </cell>
        </row>
        <row r="209">
          <cell r="L209" t="str">
            <v>CoreEmployee(ST)-Employee-CHR(CSOD)Effective Date</v>
          </cell>
          <cell r="M209" t="str">
            <v/>
          </cell>
        </row>
        <row r="210">
          <cell r="L210" t="str">
            <v>CoreEmployee(ST)-Employee-CHR(CSOD)Last Name*</v>
          </cell>
          <cell r="M210" t="str">
            <v/>
          </cell>
        </row>
        <row r="211">
          <cell r="L211" t="str">
            <v>CoreEmployee(ST)-Employee-CHR(CSOD)Language</v>
          </cell>
          <cell r="M211" t="str">
            <v/>
          </cell>
        </row>
        <row r="212">
          <cell r="L212" t="str">
            <v>CoreEmployee(ST)-Employee-CHR(CSOD)Manager</v>
          </cell>
          <cell r="M212" t="str">
            <v/>
          </cell>
        </row>
        <row r="213">
          <cell r="L213" t="str">
            <v>CoreEmployee(ST)-Employee-CHR(CSOD)Middle Name</v>
          </cell>
          <cell r="M213" t="str">
            <v/>
          </cell>
        </row>
        <row r="214">
          <cell r="L214" t="str">
            <v>CoreEmployee(ST)-Employee-CHR(CSOD)Mobile</v>
          </cell>
          <cell r="M214" t="str">
            <v/>
          </cell>
        </row>
        <row r="215">
          <cell r="L215" t="str">
            <v>CoreEmployee(ST)-Employee-CHR(CSOD)GUID</v>
          </cell>
          <cell r="M215" t="str">
            <v/>
          </cell>
        </row>
        <row r="216">
          <cell r="L216" t="str">
            <v>CoreEmployee(ST)-Employee-CHR(CSOD)User ID*</v>
          </cell>
          <cell r="M216" t="str">
            <v/>
          </cell>
        </row>
        <row r="217">
          <cell r="L217" t="str">
            <v>CoreEmployee(ST)-Employee-CHR(CSOD)Phone</v>
          </cell>
          <cell r="M217" t="str">
            <v/>
          </cell>
        </row>
        <row r="218">
          <cell r="L218" t="str">
            <v>CoreEmployee(ST)-Employee-CHR(CSOD)Prefix</v>
          </cell>
          <cell r="M218" t="str">
            <v/>
          </cell>
        </row>
        <row r="219">
          <cell r="L219" t="str">
            <v>CoreEmployee(ST)-Employee-CHR(CSOD)Division*</v>
          </cell>
          <cell r="M219" t="str">
            <v/>
          </cell>
        </row>
        <row r="220">
          <cell r="L220" t="str">
            <v>CoreEmployee(ST)-Employee-CHR(CSOD)Job Date</v>
          </cell>
          <cell r="M220" t="str">
            <v/>
          </cell>
        </row>
        <row r="221">
          <cell r="L221" t="str">
            <v>CoreEmployee(ST)-Employee-CHR(CSOD)Position*</v>
          </cell>
          <cell r="M221" t="str">
            <v/>
          </cell>
        </row>
        <row r="222">
          <cell r="L222" t="str">
            <v>CoreEmployee(ST)-Employee-CHR(CSOD)Cost Center*</v>
          </cell>
          <cell r="M222" t="str">
            <v/>
          </cell>
        </row>
        <row r="223">
          <cell r="L223" t="str">
            <v>CoreEmployee(ST)-Employee-CHR(CSOD)Original Hire Date</v>
          </cell>
          <cell r="M223" t="str">
            <v/>
          </cell>
        </row>
        <row r="224">
          <cell r="L224" t="str">
            <v>CoreEmployee(ST)-Employee-CHR(CSOD)State</v>
          </cell>
          <cell r="M224" t="str">
            <v/>
          </cell>
        </row>
        <row r="225">
          <cell r="L225" t="str">
            <v>CoreEmployee(ST)-Employee-CHR(CSOD)Suffix</v>
          </cell>
          <cell r="M225" t="str">
            <v/>
          </cell>
        </row>
        <row r="226">
          <cell r="L226" t="str">
            <v>CoreEmployee(ST)-Employee-CHR(CSOD)Time Zone</v>
          </cell>
          <cell r="M226" t="str">
            <v/>
          </cell>
        </row>
        <row r="227">
          <cell r="L227" t="str">
            <v>CoreEmployee(ST)-Employee-CHR(CSOD)User Type</v>
          </cell>
          <cell r="M227" t="str">
            <v/>
          </cell>
        </row>
        <row r="228">
          <cell r="L228" t="str">
            <v>CoreEmployee(ST)-Employee-CHR(CSOD)Username</v>
          </cell>
          <cell r="M228" t="str">
            <v/>
          </cell>
        </row>
        <row r="229">
          <cell r="L229" t="str">
            <v>CoreEmployee(ST)-Employee-CHR(CSOD)Zip</v>
          </cell>
          <cell r="M229" t="str">
            <v/>
          </cell>
        </row>
        <row r="230">
          <cell r="L230" t="str">
            <v>CoreEmployee(ST)-Employee-CHR(CSOD)Reason for Change (accepted on modification)</v>
          </cell>
          <cell r="M230" t="str">
            <v/>
          </cell>
        </row>
        <row r="231">
          <cell r="L231" t="str">
            <v>CoreEmployee(ST)-Employee-CHR(CSOD)Local System ID</v>
          </cell>
          <cell r="M231" t="str">
            <v/>
          </cell>
        </row>
        <row r="232">
          <cell r="L232" t="str">
            <v>CoreEmployee(ST)-Employee-CHR(CSOD)Approver</v>
          </cell>
          <cell r="M232" t="str">
            <v/>
          </cell>
        </row>
        <row r="233">
          <cell r="L233" t="str">
            <v>CoreEmployee(ST)-Employee-CHR(CSOD)Absent</v>
          </cell>
          <cell r="M233">
            <v>0</v>
          </cell>
        </row>
        <row r="234">
          <cell r="L234" t="str">
            <v>CoreEmployee(ST)-Employee-CHR(CSOD)Allow Reconciliation</v>
          </cell>
          <cell r="M234">
            <v>0</v>
          </cell>
        </row>
        <row r="235">
          <cell r="L235" t="str">
            <v>CoreEmployee(ST)-Employee-CHR(CSOD)Required Training Approvals</v>
          </cell>
          <cell r="M235" t="str">
            <v/>
          </cell>
        </row>
        <row r="236">
          <cell r="L236" t="str">
            <v>CoreEmployee(ST)-Employee-CHR(CSOD)Mailstop</v>
          </cell>
          <cell r="M236" t="str">
            <v/>
          </cell>
        </row>
        <row r="237">
          <cell r="L237" t="str">
            <v>CoreEmployee(ST)-Employee-CHR(CSOD)Last Hire Date</v>
          </cell>
          <cell r="M237" t="str">
            <v/>
          </cell>
        </row>
        <row r="238">
          <cell r="L238" t="str">
            <v>CoreEmployee(ST)-Employee-CHR(CSOD)Grade</v>
          </cell>
          <cell r="M238" t="str">
            <v/>
          </cell>
        </row>
        <row r="239">
          <cell r="L239" t="str">
            <v>CoreEmployee(ST)-Employee-CHR(CSOD)Location</v>
          </cell>
          <cell r="M239" t="str">
            <v/>
          </cell>
        </row>
        <row r="240">
          <cell r="L240" t="str">
            <v>CoreEmployee(ST)-Employee-CHR(CSOD)Legal Entity</v>
          </cell>
          <cell r="M240" t="str">
            <v/>
          </cell>
        </row>
        <row r="241">
          <cell r="L241" t="str">
            <v>CoreEmployee(ST)-Employee-CHR(CSOD)HR Partner</v>
          </cell>
          <cell r="M241" t="str">
            <v/>
          </cell>
        </row>
        <row r="242">
          <cell r="L242" t="str">
            <v>CoreJob(ST)-PositionOU(CSOD)Owner ID</v>
          </cell>
          <cell r="M242" t="str">
            <v/>
          </cell>
        </row>
        <row r="243">
          <cell r="L243" t="str">
            <v>CoreJob(ST)-PositionOU(CSOD)OU ID*</v>
          </cell>
          <cell r="M243" t="str">
            <v/>
          </cell>
        </row>
        <row r="244">
          <cell r="L244" t="str">
            <v>CoreJob(ST)-PositionOU(CSOD)Description</v>
          </cell>
          <cell r="M244" t="str">
            <v/>
          </cell>
        </row>
        <row r="245">
          <cell r="L245" t="str">
            <v>CoreJob(ST)-PositionOU(CSOD)OU Name*</v>
          </cell>
          <cell r="M245" t="str">
            <v/>
          </cell>
        </row>
        <row r="246">
          <cell r="L246" t="str">
            <v>CoreJob(ST)-PositionOU(CSOD)Plan Owner OU ID</v>
          </cell>
          <cell r="M246" t="str">
            <v/>
          </cell>
        </row>
        <row r="247">
          <cell r="L247" t="str">
            <v>CoreOrganization(ST)-CostCenterOU(CSOD)Approver ID</v>
          </cell>
          <cell r="M247" t="str">
            <v/>
          </cell>
        </row>
        <row r="248">
          <cell r="L248" t="str">
            <v>PrerequisitesFacility_Location(ST)-Facility(CSOD)Address 1</v>
          </cell>
          <cell r="M248" t="str">
            <v/>
          </cell>
        </row>
        <row r="249">
          <cell r="L249" t="str">
            <v>PrerequisitesFacility_Location(ST)-Facility(CSOD)Address 2</v>
          </cell>
          <cell r="M249" t="str">
            <v/>
          </cell>
        </row>
        <row r="250">
          <cell r="L250" t="str">
            <v>PrerequisitesFacility_Location(ST)-Facility(CSOD)Approval Required</v>
          </cell>
          <cell r="M250" t="str">
            <v/>
          </cell>
        </row>
        <row r="251">
          <cell r="L251" t="str">
            <v>PrerequisitesFacility_Location(ST)-Facility(CSOD)Contact</v>
          </cell>
          <cell r="M251" t="str">
            <v/>
          </cell>
        </row>
        <row r="252">
          <cell r="L252" t="str">
            <v>PrerequisitesFacility_Location(ST)-Facility(CSOD)Country</v>
          </cell>
          <cell r="M252" t="str">
            <v/>
          </cell>
        </row>
        <row r="253">
          <cell r="L253" t="str">
            <v>PrerequisitesFacility_Location(ST)-Facility(CSOD)Facility Email</v>
          </cell>
          <cell r="M253" t="str">
            <v/>
          </cell>
        </row>
        <row r="254">
          <cell r="L254" t="str">
            <v>PrerequisitesFacility_Location(ST)-Facility(CSOD)Facility Name*</v>
          </cell>
          <cell r="M254" t="str">
            <v/>
          </cell>
        </row>
        <row r="255">
          <cell r="L255" t="str">
            <v>PrerequisitesFacility_Location(ST)-Facility(CSOD)Facility Type*</v>
          </cell>
          <cell r="M255" t="str">
            <v/>
          </cell>
        </row>
        <row r="256">
          <cell r="L256" t="str">
            <v>PrerequisitesFacility_Location(ST)-Facility(CSOD)Facility Id*</v>
          </cell>
          <cell r="M256" t="str">
            <v/>
          </cell>
        </row>
        <row r="257">
          <cell r="L257" t="str">
            <v>PrerequisitesFacility_Location(ST)-Facility(CSOD)Fax</v>
          </cell>
          <cell r="M257" t="str">
            <v/>
          </cell>
        </row>
        <row r="258">
          <cell r="L258" t="str">
            <v>PrerequisitesFacility_Location(ST)-Facility(CSOD)Occupancy</v>
          </cell>
          <cell r="M258" t="str">
            <v/>
          </cell>
        </row>
        <row r="259">
          <cell r="L259" t="str">
            <v>PrerequisitesFacility_Location(ST)-Facility(CSOD)Phone</v>
          </cell>
          <cell r="M259" t="str">
            <v/>
          </cell>
        </row>
        <row r="260">
          <cell r="L260" t="str">
            <v>PrerequisitesFacility_Location(ST)-Facility(CSOD)State</v>
          </cell>
          <cell r="M260" t="str">
            <v/>
          </cell>
        </row>
        <row r="261">
          <cell r="L261" t="str">
            <v>PrerequisitesFacility_Location(ST)-Facility(CSOD)Time Zone ID*</v>
          </cell>
          <cell r="M261" t="str">
            <v/>
          </cell>
        </row>
        <row r="262">
          <cell r="L262" t="str">
            <v>PrerequisitesFacility_Location(ST)-Facility(CSOD)On site</v>
          </cell>
          <cell r="M262" t="str">
            <v/>
          </cell>
        </row>
        <row r="263">
          <cell r="L263" t="str">
            <v>PrerequisitesFacility_Location(ST)-Facility(CSOD)Allow Reconcile</v>
          </cell>
          <cell r="M263">
            <v>0</v>
          </cell>
        </row>
        <row r="264">
          <cell r="L264" t="str">
            <v>PrerequisitesFacility_Location(ST)-Facility(CSOD)Owner ID</v>
          </cell>
          <cell r="M264" t="str">
            <v/>
          </cell>
        </row>
        <row r="265">
          <cell r="L265" t="str">
            <v>PrerequisitesInstructor(ST)-Instructor(CSOD)Active</v>
          </cell>
          <cell r="M265">
            <v>1</v>
          </cell>
        </row>
        <row r="266">
          <cell r="L266" t="str">
            <v>PrerequisitesInstructor(ST)-Instructor(CSOD)Instructor ID*</v>
          </cell>
          <cell r="M266" t="str">
            <v/>
          </cell>
        </row>
        <row r="267">
          <cell r="L267" t="str">
            <v>PrerequisitesInstructor(ST)-Instructor(CSOD)Vendor/Provider*</v>
          </cell>
          <cell r="M267" t="str">
            <v/>
          </cell>
        </row>
        <row r="268">
          <cell r="L268" t="str">
            <v>PrerequisitesInstructor(ST)-Instructor(CSOD)Home Location</v>
          </cell>
          <cell r="M268" t="str">
            <v/>
          </cell>
        </row>
        <row r="269">
          <cell r="L269" t="str">
            <v>PrerequisitesInstructor(ST)-Instructor(CSOD)Internal/External*</v>
          </cell>
          <cell r="M269" t="str">
            <v>Internal</v>
          </cell>
        </row>
        <row r="270">
          <cell r="L270" t="str">
            <v>PrerequisitesInstructor(ST)-Instructor(CSOD)First Name</v>
          </cell>
          <cell r="M270" t="str">
            <v/>
          </cell>
        </row>
        <row r="271">
          <cell r="L271" t="str">
            <v>PrerequisitesInstructor(ST)-Instructor(CSOD)Last Name</v>
          </cell>
          <cell r="M271" t="str">
            <v/>
          </cell>
        </row>
        <row r="272">
          <cell r="L272" t="str">
            <v>PrerequisitesInstructor(ST)-Instructor(CSOD)Phone</v>
          </cell>
          <cell r="M272" t="str">
            <v/>
          </cell>
        </row>
        <row r="273">
          <cell r="L273" t="str">
            <v>PrerequisitesInstructor(ST)-Instructor(CSOD)Fax</v>
          </cell>
          <cell r="M273" t="str">
            <v/>
          </cell>
        </row>
        <row r="274">
          <cell r="L274" t="str">
            <v>PrerequisitesInstructor(ST)-Instructor(CSOD)Email</v>
          </cell>
          <cell r="M274" t="str">
            <v/>
          </cell>
        </row>
        <row r="275">
          <cell r="L275" t="str">
            <v>PrerequisitesInstructor(ST)-Instructor(CSOD)Languages Spoken</v>
          </cell>
          <cell r="M275" t="str">
            <v/>
          </cell>
        </row>
        <row r="276">
          <cell r="L276" t="str">
            <v>PrerequisitesInstructor(ST)-Instructor(CSOD)Education</v>
          </cell>
          <cell r="M276" t="str">
            <v/>
          </cell>
        </row>
        <row r="277">
          <cell r="L277" t="str">
            <v>PrerequisitesInstructor(ST)-Instructor(CSOD)Biography</v>
          </cell>
          <cell r="M277" t="str">
            <v/>
          </cell>
        </row>
        <row r="278">
          <cell r="L278" t="str">
            <v>PrerequisitesInstructor(ST)-Instructor(CSOD)Certifications</v>
          </cell>
          <cell r="M278" t="str">
            <v/>
          </cell>
        </row>
        <row r="279">
          <cell r="L279" t="str">
            <v>PrerequisitesLibraryTopic(ST)-Subject(CSOD)Parent Subject Ref</v>
          </cell>
          <cell r="M279" t="str">
            <v/>
          </cell>
        </row>
        <row r="280">
          <cell r="L280" t="str">
            <v>PrerequisitesLibraryTopic(ST)-Subject(CSOD)Subject Ref</v>
          </cell>
          <cell r="M280" t="str">
            <v/>
          </cell>
        </row>
        <row r="281">
          <cell r="L281" t="str">
            <v>PrerequisitesLibraryTopic(ST)-Subject(CSOD)Title</v>
          </cell>
          <cell r="M281" t="str">
            <v/>
          </cell>
        </row>
        <row r="282">
          <cell r="L282" t="str">
            <v>PrerequisitesProvider(CSOD)Provider Name*</v>
          </cell>
          <cell r="M282" t="str">
            <v/>
          </cell>
        </row>
        <row r="283">
          <cell r="L283" t="str">
            <v>PrerequisitesProvider(CSOD)Provider Type*</v>
          </cell>
          <cell r="M283" t="str">
            <v>ONLINE, ILT</v>
          </cell>
        </row>
        <row r="284">
          <cell r="L284" t="str">
            <v>PrerequisitesProvider(CSOD)Active</v>
          </cell>
          <cell r="M284" t="str">
            <v>1, 0, y, n, yes, no, t, f, true, false, on, off, active, inactive</v>
          </cell>
        </row>
        <row r="285">
          <cell r="L285" t="str">
            <v>PrerequisitesProvider(CSOD)Address 1</v>
          </cell>
          <cell r="M285" t="str">
            <v/>
          </cell>
        </row>
        <row r="286">
          <cell r="L286" t="str">
            <v>PrerequisitesProvider(CSOD)Address 2</v>
          </cell>
          <cell r="M286" t="str">
            <v/>
          </cell>
        </row>
        <row r="287">
          <cell r="L287" t="str">
            <v>PrerequisitesProvider(CSOD)City</v>
          </cell>
          <cell r="M287" t="str">
            <v/>
          </cell>
        </row>
        <row r="288">
          <cell r="L288" t="str">
            <v>PrerequisitesProvider(CSOD)ZIP</v>
          </cell>
          <cell r="M288" t="str">
            <v/>
          </cell>
        </row>
        <row r="289">
          <cell r="L289" t="str">
            <v>PrerequisitesProvider(CSOD)State/Province</v>
          </cell>
          <cell r="M289" t="str">
            <v/>
          </cell>
        </row>
        <row r="290">
          <cell r="L290" t="str">
            <v>PrerequisitesProvider(CSOD)Country</v>
          </cell>
          <cell r="M290" t="str">
            <v/>
          </cell>
        </row>
        <row r="291">
          <cell r="L291" t="str">
            <v>PrerequisitesProvider(CSOD)Contact Name</v>
          </cell>
          <cell r="M291" t="str">
            <v/>
          </cell>
        </row>
        <row r="292">
          <cell r="L292" t="str">
            <v>PrerequisitesProvider(CSOD)Phone number</v>
          </cell>
          <cell r="M292" t="str">
            <v/>
          </cell>
        </row>
        <row r="293">
          <cell r="L293" t="str">
            <v>PrerequisitesProvider(CSOD)Fax number</v>
          </cell>
          <cell r="M293" t="str">
            <v/>
          </cell>
        </row>
        <row r="294">
          <cell r="L294" t="str">
            <v>PrerequisitesProvider(CSOD)URL</v>
          </cell>
          <cell r="M294" t="str">
            <v/>
          </cell>
        </row>
        <row r="295">
          <cell r="L295" t="str">
            <v>PrerequisitesProvider(CSOD)Email</v>
          </cell>
          <cell r="M295" t="str">
            <v/>
          </cell>
        </row>
        <row r="296">
          <cell r="L296" t="str">
            <v>PrerequisitesProvider(CSOD)Description</v>
          </cell>
          <cell r="M296" t="str">
            <v/>
          </cell>
        </row>
        <row r="297">
          <cell r="L297" t="str">
            <v>PrerequisitesQuestionBanks(ST)-QuestionCategories(CSOD)Category Ref*</v>
          </cell>
          <cell r="M297" t="str">
            <v/>
          </cell>
        </row>
        <row r="298">
          <cell r="L298" t="str">
            <v>PrerequisitesQuestionBanks(ST)-QuestionCategories(CSOD)Category Name*</v>
          </cell>
          <cell r="M298" t="str">
            <v/>
          </cell>
        </row>
        <row r="299">
          <cell r="L299" t="str">
            <v>PrerequisitesQuestionBanks(ST)-QuestionCategories(CSOD)Parent Category Ref</v>
          </cell>
          <cell r="M299" t="str">
            <v/>
          </cell>
        </row>
        <row r="300">
          <cell r="L300" t="str">
            <v>PrerequisitesQuestions(ST)-Questions(CSOD)# of Answer Choices</v>
          </cell>
          <cell r="M300">
            <v>0</v>
          </cell>
        </row>
        <row r="301">
          <cell r="L301" t="str">
            <v>PrerequisitesQuestions(ST)-Questions(CSOD)All of the Above</v>
          </cell>
          <cell r="M301" t="b">
            <v>0</v>
          </cell>
        </row>
        <row r="302">
          <cell r="L302" t="str">
            <v>PrerequisitesQuestions(ST)-Questions(CSOD)Answer 1</v>
          </cell>
          <cell r="M302" t="str">
            <v/>
          </cell>
        </row>
        <row r="303">
          <cell r="L303" t="str">
            <v>PrerequisitesQuestions(ST)-Questions(CSOD)Answer 2</v>
          </cell>
          <cell r="M303" t="str">
            <v/>
          </cell>
        </row>
        <row r="304">
          <cell r="L304" t="str">
            <v>PrerequisitesQuestions(ST)-Questions(CSOD)Answer 3</v>
          </cell>
          <cell r="M304" t="str">
            <v/>
          </cell>
        </row>
        <row r="305">
          <cell r="L305" t="str">
            <v>PrerequisitesQuestions(ST)-Questions(CSOD)Answer 4</v>
          </cell>
          <cell r="M305" t="str">
            <v/>
          </cell>
        </row>
        <row r="306">
          <cell r="L306" t="str">
            <v>PrerequisitesQuestions(ST)-Questions(CSOD)Correct Answer</v>
          </cell>
          <cell r="M306" t="str">
            <v/>
          </cell>
        </row>
        <row r="307">
          <cell r="L307" t="str">
            <v>PrerequisitesQuestions(ST)-Questions(CSOD)None of the Above</v>
          </cell>
          <cell r="M307" t="b">
            <v>0</v>
          </cell>
        </row>
        <row r="308">
          <cell r="L308" t="str">
            <v>PrerequisitesQuestions(ST)-Questions(CSOD)Category Ref*</v>
          </cell>
          <cell r="M308" t="str">
            <v/>
          </cell>
        </row>
        <row r="309">
          <cell r="L309" t="str">
            <v>PrerequisitesQuestions(ST)-Questions(CSOD)Question Reference Number*</v>
          </cell>
          <cell r="M309" t="str">
            <v/>
          </cell>
        </row>
        <row r="310">
          <cell r="L310" t="str">
            <v>PrerequisitesQuestions(ST)-Questions(CSOD)Question Text*</v>
          </cell>
          <cell r="M310" t="str">
            <v/>
          </cell>
        </row>
        <row r="311">
          <cell r="L311" t="str">
            <v>PrerequisitesQuestions(ST)-Questions(CSOD)Question Type*</v>
          </cell>
          <cell r="M311" t="str">
            <v/>
          </cell>
        </row>
        <row r="312">
          <cell r="L312" t="str">
            <v>PrerequisitesQuestions(ST)-Questions(CSOD)Default Language</v>
          </cell>
          <cell r="M312" t="str">
            <v>en-US</v>
          </cell>
        </row>
        <row r="313">
          <cell r="L313" t="str">
            <v>PrerequisitesQuestions(ST)-Questions(CSOD)Active</v>
          </cell>
          <cell r="M313" t="b">
            <v>0</v>
          </cell>
        </row>
        <row r="314">
          <cell r="L314" t="str">
            <v>PrerequisitesQuestions(ST)-Questions(CSOD)Randomize Answer Choices</v>
          </cell>
          <cell r="M314" t="b">
            <v>0</v>
          </cell>
        </row>
        <row r="315">
          <cell r="L315" t="str">
            <v>PrerequisitesQuestions(ST)-Questions(CSOD)Answer Explanation</v>
          </cell>
          <cell r="M315" t="str">
            <v/>
          </cell>
        </row>
        <row r="316">
          <cell r="L316" t="str">
            <v>PrerequisitesQuestions(ST)-Questions(CSOD)Answer 5</v>
          </cell>
          <cell r="M316" t="str">
            <v/>
          </cell>
        </row>
        <row r="317">
          <cell r="L317" t="str">
            <v>PrerequisitesQuestions(ST)-Questions(CSOD)Answer 6</v>
          </cell>
          <cell r="M317" t="str">
            <v/>
          </cell>
        </row>
        <row r="318">
          <cell r="L318" t="str">
            <v>PrerequisitesQuestions(ST)-Questions(CSOD)Answer 7</v>
          </cell>
          <cell r="M318" t="str">
            <v/>
          </cell>
        </row>
        <row r="319">
          <cell r="L319" t="str">
            <v>PrerequisitesQuestions(ST)-Questions(CSOD)Answer 8</v>
          </cell>
          <cell r="M319" t="str">
            <v/>
          </cell>
        </row>
        <row r="320">
          <cell r="L320" t="str">
            <v>PrerequisitesQuestions(ST)-Questions(CSOD)Answer 9</v>
          </cell>
          <cell r="M320" t="str">
            <v/>
          </cell>
        </row>
        <row r="321">
          <cell r="L321" t="str">
            <v>PrerequisitesQuestions(ST)-Questions(CSOD)Answer 10</v>
          </cell>
          <cell r="M321" t="str">
            <v/>
          </cell>
        </row>
        <row r="322">
          <cell r="L322" t="str">
            <v>PrerequisitesQuestions(ST)-Questions(CSOD)Image Filename</v>
          </cell>
          <cell r="M322" t="str">
            <v/>
          </cell>
        </row>
        <row r="323">
          <cell r="L323" t="str">
            <v>PrerequisitesQuestions(ST)-Questions(CSOD)Answer Coordinates</v>
          </cell>
          <cell r="M323" t="str">
            <v/>
          </cell>
        </row>
        <row r="324">
          <cell r="L324" t="str">
            <v>PrerequisitesQuestions(ST)-Questions(CSOD)Apply partial scoring</v>
          </cell>
          <cell r="M324" t="str">
            <v/>
          </cell>
        </row>
        <row r="325">
          <cell r="L325" t="str">
            <v>PrerequisitesQuestions(ST)-Questions(CSOD)Author</v>
          </cell>
          <cell r="M325" t="str">
            <v/>
          </cell>
        </row>
        <row r="326">
          <cell r="L326" t="str">
            <v>TranscriptCurriculumRoster(ST)-CurriculumTranscript(CSOD)Curriculum ID*</v>
          </cell>
          <cell r="M326" t="str">
            <v/>
          </cell>
        </row>
        <row r="327">
          <cell r="L327" t="str">
            <v>TranscriptCurriculumRoster(ST)-CurriculumTranscript(CSOD)Completion Date/Time</v>
          </cell>
          <cell r="M327" t="str">
            <v/>
          </cell>
        </row>
        <row r="328">
          <cell r="L328" t="str">
            <v>TranscriptCurriculumRoster(ST)-CurriculumTranscript(CSOD)Due Date/Time‡</v>
          </cell>
          <cell r="M328" t="str">
            <v/>
          </cell>
        </row>
        <row r="329">
          <cell r="L329" t="str">
            <v>TranscriptCurriculumRoster(ST)-CurriculumTranscript(CSOD)User ID*</v>
          </cell>
          <cell r="M329" t="str">
            <v/>
          </cell>
        </row>
        <row r="330">
          <cell r="L330" t="str">
            <v>TranscriptCurriculumRoster(ST)-CurriculumTranscript(CSOD)Comments</v>
          </cell>
          <cell r="M330" t="str">
            <v/>
          </cell>
        </row>
        <row r="331">
          <cell r="L331" t="str">
            <v>TranscriptCurriculumRoster(ST)-CurriculumTranscript(CSOD)Request Date/Time*</v>
          </cell>
          <cell r="M331" t="str">
            <v/>
          </cell>
        </row>
        <row r="332">
          <cell r="L332" t="str">
            <v>TranscriptCurriculumRoster(ST)-CurriculumTranscript(CSOD)Registration Date/Time*</v>
          </cell>
          <cell r="M332" t="str">
            <v/>
          </cell>
        </row>
        <row r="333">
          <cell r="L333" t="str">
            <v>TranscriptCurriculumRoster(ST)-CurriculumTranscript(CSOD)Transcript Status*</v>
          </cell>
          <cell r="M333" t="str">
            <v/>
          </cell>
        </row>
        <row r="334">
          <cell r="L334" t="str">
            <v>TranscriptCurriculumRoster(ST)-CurriculumTranscript(CSOD)Transcript Action</v>
          </cell>
          <cell r="M334" t="str">
            <v/>
          </cell>
        </row>
        <row r="335">
          <cell r="L335" t="str">
            <v>TranscriptCurriculumRoster(ST)-CurriculumTranscript(CSOD)Archived</v>
          </cell>
          <cell r="M335" t="b">
            <v>0</v>
          </cell>
        </row>
        <row r="336">
          <cell r="L336" t="str">
            <v>TranscriptCurriculumRoster(ST)-CurriculumTranscript(CSOD)User Exempt Reason</v>
          </cell>
          <cell r="M336" t="str">
            <v/>
          </cell>
        </row>
        <row r="337">
          <cell r="L337" t="str">
            <v>TranscriptCurriculumRoster(ST)-CurriculumTranscript(CSOD)Approver Exempt Reason</v>
          </cell>
          <cell r="M337" t="str">
            <v/>
          </cell>
        </row>
        <row r="338">
          <cell r="L338" t="str">
            <v>TranscriptCurriculumRoster(ST)-CurriculumTranscript(CSOD)User's Exemption Comments</v>
          </cell>
          <cell r="M338" t="str">
            <v/>
          </cell>
        </row>
        <row r="339">
          <cell r="L339" t="str">
            <v>TranscriptCurriculumRoster(ST)-CurriculumTranscript(CSOD)Approver's Exemption Comments</v>
          </cell>
          <cell r="M339" t="str">
            <v/>
          </cell>
        </row>
        <row r="340">
          <cell r="L340" t="str">
            <v>TranscriptCurriculumRoster(ST)-CurriculumTranscript(CSOD)Exempt By</v>
          </cell>
          <cell r="M340" t="str">
            <v/>
          </cell>
        </row>
        <row r="341">
          <cell r="L341" t="str">
            <v>TranscriptCurriculumRoster(ST)-CurriculumTranscript(CSOD)Training Points</v>
          </cell>
          <cell r="M341" t="str">
            <v/>
          </cell>
        </row>
        <row r="342">
          <cell r="L342" t="str">
            <v>TranscriptCurriculumRoster(ST)-CurriculumTranscript(CSOD)Training Badge</v>
          </cell>
          <cell r="M342" t="str">
            <v/>
          </cell>
        </row>
        <row r="343">
          <cell r="L343" t="str">
            <v>TranscriptDocumentRoster(ST)-MaterialTranscript(CSOD)Comments</v>
          </cell>
          <cell r="M343" t="str">
            <v/>
          </cell>
        </row>
        <row r="344">
          <cell r="L344" t="str">
            <v>TranscriptDocumentRoster(ST)-MaterialTranscript(CSOD)Transcript Status*</v>
          </cell>
          <cell r="M344" t="str">
            <v/>
          </cell>
        </row>
        <row r="345">
          <cell r="L345" t="str">
            <v>TranscriptDocumentRoster(ST)-MaterialTranscript(CSOD)Due Date Action type</v>
          </cell>
          <cell r="M345" t="str">
            <v/>
          </cell>
        </row>
        <row r="346">
          <cell r="L346" t="str">
            <v>TranscriptILTCLassRoster(ST)-SessionTranscript(CSOD)Session ID*</v>
          </cell>
          <cell r="M346" t="str">
            <v/>
          </cell>
        </row>
        <row r="347">
          <cell r="L347" t="str">
            <v>TranscriptILTCLassRoster(ST)-SessionTranscript(CSOD)Completion Date/Time</v>
          </cell>
          <cell r="M347" t="str">
            <v/>
          </cell>
        </row>
        <row r="348">
          <cell r="L348" t="str">
            <v>TranscriptILTCLassRoster(ST)-SessionTranscript(CSOD)Request Date/Time</v>
          </cell>
          <cell r="M348" t="str">
            <v/>
          </cell>
        </row>
        <row r="349">
          <cell r="L349" t="str">
            <v>TranscriptILTCLassRoster(ST)-SessionTranscript(CSOD)Registration Date/Time</v>
          </cell>
          <cell r="M349" t="str">
            <v/>
          </cell>
        </row>
        <row r="350">
          <cell r="L350" t="str">
            <v>TranscriptILTCLassRoster(ST)-SessionTranscript(CSOD)Score</v>
          </cell>
          <cell r="M350" t="str">
            <v/>
          </cell>
        </row>
        <row r="351">
          <cell r="L351" t="str">
            <v>TranscriptILTCLassRoster(ST)-SessionTranscript(CSOD)Pass/Fail</v>
          </cell>
          <cell r="M351" t="str">
            <v>Pass</v>
          </cell>
        </row>
        <row r="352">
          <cell r="L352" t="str">
            <v>TranscriptILTCLassRoster(ST)-SessionTranscript(CSOD)Transcript Status</v>
          </cell>
          <cell r="M352" t="str">
            <v/>
          </cell>
        </row>
        <row r="353">
          <cell r="L353" t="str">
            <v>TranscriptOCRoster(ST)-OnlineCourse(CSOD)Online Course ID*</v>
          </cell>
          <cell r="M353" t="str">
            <v/>
          </cell>
        </row>
        <row r="354">
          <cell r="L354" t="str">
            <v>TranscriptOCRoster(ST)-OnlineCourse(CSOD)Score</v>
          </cell>
          <cell r="M354" t="str">
            <v/>
          </cell>
        </row>
        <row r="355">
          <cell r="L355" t="str">
            <v>TranscriptQuickAssessmentRoster(ST)-TestTranscript(CSOD)Score</v>
          </cell>
          <cell r="M355" t="str">
            <v/>
          </cell>
        </row>
        <row r="356">
          <cell r="L356" t="str">
            <v>TranscriptQuickAssessmentRoster(ST)-TestTranscript(CSOD)User Exempt Reason</v>
          </cell>
          <cell r="M356">
            <v>0</v>
          </cell>
        </row>
        <row r="357">
          <cell r="L357" t="str">
            <v>TranscriptQuickAssessmentRoster(ST)-TestTranscript(CSOD)Approver Exempt Reason</v>
          </cell>
          <cell r="M357">
            <v>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ntennahouse.com/hubfs/xsl-fo-sample/pdf/basic-link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4B06-07F8-3342-8F4A-5E50F5CFD477}">
  <sheetPr filterMode="1"/>
  <dimension ref="A1:P523"/>
  <sheetViews>
    <sheetView tabSelected="1" workbookViewId="0">
      <selection activeCell="D528" sqref="D528"/>
    </sheetView>
  </sheetViews>
  <sheetFormatPr baseColWidth="10" defaultRowHeight="16" x14ac:dyDescent="0.2"/>
  <cols>
    <col min="1" max="1" width="11.83203125" bestFit="1" customWidth="1"/>
    <col min="2" max="2" width="23.1640625" bestFit="1" customWidth="1"/>
    <col min="3" max="3" width="36.33203125" bestFit="1" customWidth="1"/>
    <col min="4" max="4" width="46.6640625" bestFit="1" customWidth="1"/>
    <col min="5" max="5" width="15.83203125" hidden="1" customWidth="1"/>
    <col min="6" max="6" width="29.33203125" hidden="1" customWidth="1"/>
    <col min="7" max="7" width="13.5" hidden="1" customWidth="1"/>
    <col min="8" max="8" width="62.33203125" hidden="1" customWidth="1"/>
    <col min="9" max="9" width="19.6640625" hidden="1" customWidth="1"/>
    <col min="10" max="10" width="23.6640625" bestFit="1" customWidth="1"/>
    <col min="11" max="11" width="11.5" bestFit="1" customWidth="1"/>
    <col min="12" max="12" width="13.5" bestFit="1" customWidth="1"/>
    <col min="13" max="13" width="21" bestFit="1" customWidth="1"/>
  </cols>
  <sheetData>
    <row r="1" spans="1:16" x14ac:dyDescent="0.2">
      <c r="A1" s="8" t="s">
        <v>45</v>
      </c>
      <c r="B1" s="8" t="s">
        <v>90</v>
      </c>
      <c r="C1" s="8" t="s">
        <v>89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5</v>
      </c>
      <c r="J1" s="12" t="s">
        <v>6</v>
      </c>
      <c r="K1" s="12" t="s">
        <v>7</v>
      </c>
      <c r="L1" s="12" t="s">
        <v>3</v>
      </c>
      <c r="M1" s="12" t="s">
        <v>8</v>
      </c>
    </row>
    <row r="2" spans="1:16" hidden="1" x14ac:dyDescent="0.2">
      <c r="A2" s="13" t="s">
        <v>46</v>
      </c>
      <c r="B2" s="13" t="s">
        <v>93</v>
      </c>
      <c r="C2" s="13" t="s">
        <v>88</v>
      </c>
      <c r="D2" s="14" t="s">
        <v>47</v>
      </c>
      <c r="E2" s="15" t="s">
        <v>10</v>
      </c>
      <c r="F2" s="15" t="s">
        <v>11</v>
      </c>
      <c r="G2" s="15">
        <v>100</v>
      </c>
      <c r="H2" s="15"/>
      <c r="I2" s="15"/>
      <c r="J2" s="15" t="s">
        <v>48</v>
      </c>
      <c r="K2" s="15" t="s">
        <v>13</v>
      </c>
      <c r="L2" s="15">
        <v>255</v>
      </c>
      <c r="M2" s="15"/>
      <c r="N2" t="str">
        <f t="shared" ref="N2:N65" si="0">_xlfn.CONCAT(A2,C2,D2)</f>
        <v>ActivityActivity(ST)-Curriculum(CSOD)Curriculum ID*</v>
      </c>
      <c r="O2" t="str">
        <f>IF(H2="","",H2)</f>
        <v/>
      </c>
      <c r="P2" t="e">
        <f>VLOOKUP(N2,'[1]Sheet1 (2)'!$L:$M,2,0)</f>
        <v>#N/A</v>
      </c>
    </row>
    <row r="3" spans="1:16" hidden="1" x14ac:dyDescent="0.2">
      <c r="A3" s="13" t="s">
        <v>46</v>
      </c>
      <c r="B3" s="13" t="s">
        <v>93</v>
      </c>
      <c r="C3" s="13" t="s">
        <v>88</v>
      </c>
      <c r="D3" s="14" t="s">
        <v>49</v>
      </c>
      <c r="E3" s="15" t="s">
        <v>10</v>
      </c>
      <c r="F3" s="15" t="s">
        <v>11</v>
      </c>
      <c r="G3" s="15">
        <v>500</v>
      </c>
      <c r="H3" s="15"/>
      <c r="I3" s="15"/>
      <c r="J3" s="15" t="s">
        <v>50</v>
      </c>
      <c r="K3" s="15"/>
      <c r="L3" s="15"/>
      <c r="M3" s="15"/>
      <c r="N3" t="str">
        <f t="shared" si="0"/>
        <v>ActivityActivity(ST)-Curriculum(CSOD)Section Name</v>
      </c>
      <c r="O3" t="str">
        <f t="shared" ref="O3:O66" si="1">IF(H3="","",H3)</f>
        <v/>
      </c>
      <c r="P3" t="e">
        <f>VLOOKUP(N3,'[1]Sheet1 (2)'!$L:$M,2,0)</f>
        <v>#N/A</v>
      </c>
    </row>
    <row r="4" spans="1:16" hidden="1" x14ac:dyDescent="0.2">
      <c r="A4" s="13" t="s">
        <v>46</v>
      </c>
      <c r="B4" s="13" t="s">
        <v>93</v>
      </c>
      <c r="C4" s="13" t="s">
        <v>88</v>
      </c>
      <c r="D4" s="14" t="s">
        <v>51</v>
      </c>
      <c r="E4" s="15" t="s">
        <v>10</v>
      </c>
      <c r="F4" s="15" t="s">
        <v>11</v>
      </c>
      <c r="G4" s="15">
        <v>100</v>
      </c>
      <c r="H4" s="15"/>
      <c r="I4" s="15"/>
      <c r="J4" s="15" t="s">
        <v>52</v>
      </c>
      <c r="K4" s="15" t="s">
        <v>13</v>
      </c>
      <c r="L4" s="15">
        <v>255</v>
      </c>
      <c r="M4" s="15"/>
      <c r="N4" t="str">
        <f t="shared" si="0"/>
        <v>ActivityActivity(ST)-Curriculum(CSOD)Child LO ID</v>
      </c>
      <c r="O4" t="str">
        <f t="shared" si="1"/>
        <v/>
      </c>
      <c r="P4" t="e">
        <f>VLOOKUP(N4,'[1]Sheet1 (2)'!$L:$M,2,0)</f>
        <v>#N/A</v>
      </c>
    </row>
    <row r="5" spans="1:16" hidden="1" x14ac:dyDescent="0.2">
      <c r="A5" s="13" t="s">
        <v>46</v>
      </c>
      <c r="B5" s="13" t="s">
        <v>93</v>
      </c>
      <c r="C5" s="13" t="s">
        <v>88</v>
      </c>
      <c r="D5" s="14" t="s">
        <v>53</v>
      </c>
      <c r="E5" s="15" t="s">
        <v>10</v>
      </c>
      <c r="F5" s="15" t="s">
        <v>11</v>
      </c>
      <c r="G5" s="15">
        <v>500</v>
      </c>
      <c r="H5" s="15"/>
      <c r="I5" s="15"/>
      <c r="J5" s="15" t="s">
        <v>54</v>
      </c>
      <c r="K5" s="15" t="s">
        <v>13</v>
      </c>
      <c r="L5" s="15">
        <v>300</v>
      </c>
      <c r="M5" s="15"/>
      <c r="N5" t="str">
        <f t="shared" si="0"/>
        <v>ActivityActivity(ST)-Curriculum(CSOD)Curriculum Title*</v>
      </c>
      <c r="O5" t="str">
        <f t="shared" si="1"/>
        <v/>
      </c>
      <c r="P5" t="e">
        <f>VLOOKUP(N5,'[1]Sheet1 (2)'!$L:$M,2,0)</f>
        <v>#N/A</v>
      </c>
    </row>
    <row r="6" spans="1:16" hidden="1" x14ac:dyDescent="0.2">
      <c r="A6" s="13" t="s">
        <v>46</v>
      </c>
      <c r="B6" s="13" t="s">
        <v>93</v>
      </c>
      <c r="C6" s="13" t="s">
        <v>88</v>
      </c>
      <c r="D6" s="14" t="s">
        <v>55</v>
      </c>
      <c r="E6" s="15" t="s">
        <v>10</v>
      </c>
      <c r="F6" s="15" t="s">
        <v>11</v>
      </c>
      <c r="G6" s="15">
        <v>100</v>
      </c>
      <c r="H6" s="15" t="s">
        <v>56</v>
      </c>
      <c r="I6" s="15"/>
      <c r="J6" s="15" t="s">
        <v>57</v>
      </c>
      <c r="K6" s="15" t="s">
        <v>13</v>
      </c>
      <c r="L6" s="15">
        <v>50</v>
      </c>
      <c r="M6" s="15"/>
      <c r="N6" t="str">
        <f>_xlfn.CONCAT(A6,C6,D6)</f>
        <v>ActivityActivity(ST)-Curriculum(CSOD)Vendor/Provider*</v>
      </c>
      <c r="O6" t="str">
        <f t="shared" si="1"/>
        <v>Online Content</v>
      </c>
      <c r="P6" t="e">
        <f>VLOOKUP(N6,'[1]Sheet1 (2)'!$L:$M,2,0)</f>
        <v>#N/A</v>
      </c>
    </row>
    <row r="7" spans="1:16" hidden="1" x14ac:dyDescent="0.2">
      <c r="A7" s="13" t="s">
        <v>46</v>
      </c>
      <c r="B7" s="13" t="s">
        <v>93</v>
      </c>
      <c r="C7" s="13" t="s">
        <v>88</v>
      </c>
      <c r="D7" s="14" t="s">
        <v>58</v>
      </c>
      <c r="E7" s="15" t="s">
        <v>10</v>
      </c>
      <c r="F7" s="15" t="s">
        <v>11</v>
      </c>
      <c r="G7" s="15"/>
      <c r="H7" s="15" t="s">
        <v>59</v>
      </c>
      <c r="I7" s="16" t="s">
        <v>60</v>
      </c>
      <c r="J7" s="15"/>
      <c r="K7" s="15"/>
      <c r="L7" s="15"/>
      <c r="M7" s="15"/>
      <c r="N7" t="str">
        <f t="shared" ref="N7:N70" si="2">_xlfn.CONCAT(A7,C7,D7)</f>
        <v>ActivityActivity(ST)-Curriculum(CSOD)Provider type*</v>
      </c>
      <c r="O7" t="str">
        <f t="shared" si="1"/>
        <v>ONLINE</v>
      </c>
      <c r="P7" t="e">
        <f>VLOOKUP(N7,'[1]Sheet1 (2)'!$L:$M,2,0)</f>
        <v>#N/A</v>
      </c>
    </row>
    <row r="8" spans="1:16" ht="48" hidden="1" x14ac:dyDescent="0.2">
      <c r="A8" s="13" t="s">
        <v>46</v>
      </c>
      <c r="B8" s="13" t="s">
        <v>93</v>
      </c>
      <c r="C8" s="13" t="s">
        <v>88</v>
      </c>
      <c r="D8" s="14" t="s">
        <v>16</v>
      </c>
      <c r="E8" s="15" t="s">
        <v>17</v>
      </c>
      <c r="F8" s="15" t="s">
        <v>18</v>
      </c>
      <c r="G8" s="15"/>
      <c r="H8" s="15" t="b">
        <v>0</v>
      </c>
      <c r="I8" s="17" t="s">
        <v>19</v>
      </c>
      <c r="J8" s="15" t="s">
        <v>16</v>
      </c>
      <c r="K8" s="15" t="s">
        <v>25</v>
      </c>
      <c r="L8" s="15"/>
      <c r="M8" s="15" t="s">
        <v>26</v>
      </c>
      <c r="N8" t="str">
        <f t="shared" si="2"/>
        <v>ActivityActivity(ST)-Curriculum(CSOD)Active</v>
      </c>
      <c r="O8" t="b">
        <f t="shared" si="1"/>
        <v>0</v>
      </c>
      <c r="P8" t="e">
        <f>VLOOKUP(N8,'[1]Sheet1 (2)'!$L:$M,2,0)</f>
        <v>#N/A</v>
      </c>
    </row>
    <row r="9" spans="1:16" ht="142" hidden="1" customHeight="1" x14ac:dyDescent="0.2">
      <c r="A9" s="13" t="s">
        <v>46</v>
      </c>
      <c r="B9" s="13" t="s">
        <v>93</v>
      </c>
      <c r="C9" s="13" t="s">
        <v>88</v>
      </c>
      <c r="D9" s="18" t="s">
        <v>61</v>
      </c>
      <c r="E9" s="19" t="s">
        <v>17</v>
      </c>
      <c r="F9" s="19" t="s">
        <v>11</v>
      </c>
      <c r="G9" s="19"/>
      <c r="H9" s="20">
        <v>1</v>
      </c>
      <c r="I9" s="20" t="s">
        <v>298</v>
      </c>
      <c r="J9" s="15"/>
      <c r="K9" s="15"/>
      <c r="L9" s="15"/>
      <c r="M9" s="15"/>
      <c r="N9" t="str">
        <f t="shared" si="2"/>
        <v>ActivityActivity(ST)-Curriculum(CSOD)Default Language</v>
      </c>
      <c r="O9">
        <f t="shared" si="1"/>
        <v>1</v>
      </c>
      <c r="P9" t="e">
        <f>VLOOKUP(N9,'[1]Sheet1 (2)'!$L:$M,2,0)</f>
        <v>#N/A</v>
      </c>
    </row>
    <row r="10" spans="1:16" s="21" customFormat="1" ht="206" hidden="1" customHeight="1" x14ac:dyDescent="0.2">
      <c r="A10" s="13" t="s">
        <v>46</v>
      </c>
      <c r="B10" s="13" t="s">
        <v>93</v>
      </c>
      <c r="C10" s="13" t="s">
        <v>88</v>
      </c>
      <c r="D10" s="18" t="s">
        <v>62</v>
      </c>
      <c r="E10" s="19" t="s">
        <v>10</v>
      </c>
      <c r="F10" s="19" t="s">
        <v>11</v>
      </c>
      <c r="G10" s="19"/>
      <c r="H10" s="20" t="s">
        <v>299</v>
      </c>
      <c r="I10" s="20" t="s">
        <v>299</v>
      </c>
      <c r="J10" s="19" t="s">
        <v>63</v>
      </c>
      <c r="K10" s="19" t="s">
        <v>64</v>
      </c>
      <c r="L10" s="19">
        <v>255</v>
      </c>
      <c r="M10" s="19"/>
      <c r="N10" t="str">
        <f t="shared" si="2"/>
        <v>ActivityActivity(ST)-Curriculum(CSOD)Subject IDs*</v>
      </c>
      <c r="O10" t="str">
        <f t="shared" si="1"/>
        <v xml:space="preserve"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
ELSE </v>
      </c>
      <c r="P10" t="e">
        <f>VLOOKUP(N10,'[1]Sheet1 (2)'!$L:$M,2,0)</f>
        <v>#N/A</v>
      </c>
    </row>
    <row r="11" spans="1:16" hidden="1" x14ac:dyDescent="0.2">
      <c r="A11" s="13" t="s">
        <v>46</v>
      </c>
      <c r="B11" s="13" t="s">
        <v>93</v>
      </c>
      <c r="C11" s="13" t="s">
        <v>88</v>
      </c>
      <c r="D11" s="14" t="s">
        <v>65</v>
      </c>
      <c r="E11" s="15" t="s">
        <v>17</v>
      </c>
      <c r="F11" s="15" t="s">
        <v>11</v>
      </c>
      <c r="G11" s="15">
        <v>5000</v>
      </c>
      <c r="H11" s="15"/>
      <c r="I11" s="15"/>
      <c r="J11" s="15" t="s">
        <v>66</v>
      </c>
      <c r="K11" s="15" t="s">
        <v>64</v>
      </c>
      <c r="L11" s="15">
        <v>4000</v>
      </c>
      <c r="M11" s="15"/>
      <c r="N11" t="str">
        <f t="shared" si="2"/>
        <v>ActivityActivity(ST)-Curriculum(CSOD)Description</v>
      </c>
      <c r="O11" t="str">
        <f t="shared" si="1"/>
        <v/>
      </c>
      <c r="P11" t="e">
        <f>VLOOKUP(N11,'[1]Sheet1 (2)'!$L:$M,2,0)</f>
        <v>#N/A</v>
      </c>
    </row>
    <row r="12" spans="1:16" hidden="1" x14ac:dyDescent="0.2">
      <c r="A12" s="13" t="s">
        <v>46</v>
      </c>
      <c r="B12" s="13" t="s">
        <v>93</v>
      </c>
      <c r="C12" s="13" t="s">
        <v>88</v>
      </c>
      <c r="D12" s="14" t="s">
        <v>67</v>
      </c>
      <c r="E12" s="15" t="s">
        <v>10</v>
      </c>
      <c r="F12" s="15" t="s">
        <v>11</v>
      </c>
      <c r="G12" s="15">
        <v>128</v>
      </c>
      <c r="H12" s="15" t="s">
        <v>68</v>
      </c>
      <c r="I12" s="15"/>
      <c r="J12" s="15" t="s">
        <v>69</v>
      </c>
      <c r="K12" s="15" t="s">
        <v>13</v>
      </c>
      <c r="L12" s="15">
        <v>50</v>
      </c>
      <c r="M12" s="15"/>
      <c r="N12" t="str">
        <f t="shared" si="2"/>
        <v>ActivityActivity(ST)-Curriculum(CSOD)Owners*</v>
      </c>
      <c r="O12" t="str">
        <f t="shared" si="1"/>
        <v>TRN1000194</v>
      </c>
      <c r="P12" t="e">
        <f>VLOOKUP(N12,'[1]Sheet1 (2)'!$L:$M,2,0)</f>
        <v>#N/A</v>
      </c>
    </row>
    <row r="13" spans="1:16" hidden="1" x14ac:dyDescent="0.2">
      <c r="A13" s="13" t="s">
        <v>46</v>
      </c>
      <c r="B13" s="13" t="s">
        <v>93</v>
      </c>
      <c r="C13" s="13" t="s">
        <v>88</v>
      </c>
      <c r="D13" s="14" t="s">
        <v>41</v>
      </c>
      <c r="E13" s="15" t="s">
        <v>17</v>
      </c>
      <c r="F13" s="15" t="s">
        <v>11</v>
      </c>
      <c r="G13" s="15">
        <v>128</v>
      </c>
      <c r="H13" s="15"/>
      <c r="I13" s="15"/>
      <c r="J13" s="15"/>
      <c r="K13" s="15"/>
      <c r="L13" s="15"/>
      <c r="M13" s="15"/>
      <c r="N13" t="str">
        <f t="shared" si="2"/>
        <v>ActivityActivity(ST)-Curriculum(CSOD)Created/Modified By</v>
      </c>
      <c r="O13" t="str">
        <f t="shared" si="1"/>
        <v/>
      </c>
      <c r="P13" t="e">
        <f>VLOOKUP(N13,'[1]Sheet1 (2)'!$L:$M,2,0)</f>
        <v>#N/A</v>
      </c>
    </row>
    <row r="14" spans="1:16" hidden="1" x14ac:dyDescent="0.2">
      <c r="A14" s="13" t="s">
        <v>46</v>
      </c>
      <c r="B14" s="13" t="s">
        <v>93</v>
      </c>
      <c r="C14" s="13" t="s">
        <v>88</v>
      </c>
      <c r="D14" s="14" t="s">
        <v>70</v>
      </c>
      <c r="E14" s="15" t="s">
        <v>17</v>
      </c>
      <c r="F14" s="15" t="s">
        <v>11</v>
      </c>
      <c r="G14" s="15">
        <v>1000</v>
      </c>
      <c r="H14" s="15"/>
      <c r="I14" s="15"/>
      <c r="J14" s="15"/>
      <c r="K14" s="15"/>
      <c r="L14" s="15"/>
      <c r="M14" s="15"/>
      <c r="N14" t="str">
        <f t="shared" si="2"/>
        <v>ActivityActivity(ST)-Curriculum(CSOD)Keywords</v>
      </c>
      <c r="O14" t="str">
        <f t="shared" si="1"/>
        <v/>
      </c>
      <c r="P14" t="e">
        <f>VLOOKUP(N14,'[1]Sheet1 (2)'!$L:$M,2,0)</f>
        <v>#N/A</v>
      </c>
    </row>
    <row r="15" spans="1:16" hidden="1" x14ac:dyDescent="0.2">
      <c r="A15" s="13" t="s">
        <v>46</v>
      </c>
      <c r="B15" s="13" t="s">
        <v>93</v>
      </c>
      <c r="C15" s="13" t="s">
        <v>88</v>
      </c>
      <c r="D15" s="14" t="s">
        <v>71</v>
      </c>
      <c r="E15" s="15" t="s">
        <v>17</v>
      </c>
      <c r="F15" s="15" t="s">
        <v>11</v>
      </c>
      <c r="G15" s="15">
        <v>2000</v>
      </c>
      <c r="H15" s="15"/>
      <c r="I15" s="15"/>
      <c r="J15" s="15"/>
      <c r="K15" s="15"/>
      <c r="L15" s="15"/>
      <c r="M15" s="15"/>
      <c r="N15" t="str">
        <f t="shared" si="2"/>
        <v>ActivityActivity(ST)-Curriculum(CSOD)Available Languages</v>
      </c>
      <c r="O15" t="str">
        <f t="shared" si="1"/>
        <v/>
      </c>
      <c r="P15" t="e">
        <f>VLOOKUP(N15,'[1]Sheet1 (2)'!$L:$M,2,0)</f>
        <v>#N/A</v>
      </c>
    </row>
    <row r="16" spans="1:16" ht="48" hidden="1" x14ac:dyDescent="0.2">
      <c r="A16" s="13" t="s">
        <v>46</v>
      </c>
      <c r="B16" s="13" t="s">
        <v>93</v>
      </c>
      <c r="C16" s="13" t="s">
        <v>88</v>
      </c>
      <c r="D16" s="14" t="s">
        <v>72</v>
      </c>
      <c r="E16" s="15" t="s">
        <v>17</v>
      </c>
      <c r="F16" s="15" t="s">
        <v>18</v>
      </c>
      <c r="G16" s="15"/>
      <c r="H16" s="15">
        <v>0</v>
      </c>
      <c r="I16" s="17" t="s">
        <v>19</v>
      </c>
      <c r="J16" s="15"/>
      <c r="K16" s="15"/>
      <c r="L16" s="15"/>
      <c r="M16" s="15"/>
      <c r="N16" t="str">
        <f t="shared" si="2"/>
        <v>ActivityActivity(ST)-Curriculum(CSOD)Availability to All Users</v>
      </c>
      <c r="O16">
        <f t="shared" si="1"/>
        <v>0</v>
      </c>
      <c r="P16" t="e">
        <f>VLOOKUP(N16,'[1]Sheet1 (2)'!$L:$M,2,0)</f>
        <v>#N/A</v>
      </c>
    </row>
    <row r="17" spans="1:16" hidden="1" x14ac:dyDescent="0.2">
      <c r="A17" s="13" t="s">
        <v>46</v>
      </c>
      <c r="B17" s="13" t="s">
        <v>93</v>
      </c>
      <c r="C17" s="13" t="s">
        <v>88</v>
      </c>
      <c r="D17" s="14" t="s">
        <v>73</v>
      </c>
      <c r="E17" s="15" t="s">
        <v>17</v>
      </c>
      <c r="F17" s="15" t="s">
        <v>11</v>
      </c>
      <c r="G17" s="15">
        <v>200</v>
      </c>
      <c r="H17" s="15"/>
      <c r="I17" s="15"/>
      <c r="J17" s="15"/>
      <c r="K17" s="15"/>
      <c r="L17" s="15"/>
      <c r="M17" s="15"/>
      <c r="N17" t="str">
        <f t="shared" si="2"/>
        <v>ActivityActivity(ST)-Curriculum(CSOD)Availability to Specific Users</v>
      </c>
      <c r="O17" t="str">
        <f t="shared" si="1"/>
        <v/>
      </c>
      <c r="P17" t="e">
        <f>VLOOKUP(N17,'[1]Sheet1 (2)'!$L:$M,2,0)</f>
        <v>#N/A</v>
      </c>
    </row>
    <row r="18" spans="1:16" hidden="1" x14ac:dyDescent="0.2">
      <c r="A18" s="13" t="s">
        <v>46</v>
      </c>
      <c r="B18" s="13" t="s">
        <v>93</v>
      </c>
      <c r="C18" s="13" t="s">
        <v>88</v>
      </c>
      <c r="D18" s="14" t="s">
        <v>74</v>
      </c>
      <c r="E18" s="15" t="s">
        <v>17</v>
      </c>
      <c r="F18" s="15" t="s">
        <v>11</v>
      </c>
      <c r="G18" s="15">
        <v>200</v>
      </c>
      <c r="H18" s="15"/>
      <c r="I18" s="15"/>
      <c r="J18" s="15"/>
      <c r="K18" s="15"/>
      <c r="L18" s="15"/>
      <c r="M18" s="15"/>
      <c r="N18" t="str">
        <f t="shared" si="2"/>
        <v>ActivityActivity(ST)-Curriculum(CSOD)Availability to OU‡</v>
      </c>
      <c r="O18" t="str">
        <f t="shared" si="1"/>
        <v/>
      </c>
      <c r="P18" t="e">
        <f>VLOOKUP(N18,'[1]Sheet1 (2)'!$L:$M,2,0)</f>
        <v>#N/A</v>
      </c>
    </row>
    <row r="19" spans="1:16" hidden="1" x14ac:dyDescent="0.2">
      <c r="A19" s="13" t="s">
        <v>46</v>
      </c>
      <c r="B19" s="13" t="s">
        <v>93</v>
      </c>
      <c r="C19" s="13" t="s">
        <v>88</v>
      </c>
      <c r="D19" s="14" t="s">
        <v>75</v>
      </c>
      <c r="E19" s="15" t="s">
        <v>17</v>
      </c>
      <c r="F19" s="15" t="s">
        <v>11</v>
      </c>
      <c r="G19" s="15">
        <v>200</v>
      </c>
      <c r="H19" s="15"/>
      <c r="I19" s="17"/>
      <c r="J19" s="15"/>
      <c r="K19" s="15"/>
      <c r="L19" s="15"/>
      <c r="M19" s="15"/>
      <c r="N19" t="str">
        <f t="shared" si="2"/>
        <v>ActivityActivity(ST)-Curriculum(CSOD)Availability OU Type</v>
      </c>
      <c r="O19" t="str">
        <f t="shared" si="1"/>
        <v/>
      </c>
      <c r="P19" t="e">
        <f>VLOOKUP(N19,'[1]Sheet1 (2)'!$L:$M,2,0)</f>
        <v>#N/A</v>
      </c>
    </row>
    <row r="20" spans="1:16" ht="48" hidden="1" x14ac:dyDescent="0.2">
      <c r="A20" s="13" t="s">
        <v>46</v>
      </c>
      <c r="B20" s="13" t="s">
        <v>93</v>
      </c>
      <c r="C20" s="13" t="s">
        <v>88</v>
      </c>
      <c r="D20" s="14" t="s">
        <v>76</v>
      </c>
      <c r="E20" s="15" t="s">
        <v>17</v>
      </c>
      <c r="F20" s="15" t="s">
        <v>18</v>
      </c>
      <c r="G20" s="15"/>
      <c r="H20" s="14" t="b">
        <v>0</v>
      </c>
      <c r="I20" s="17" t="s">
        <v>19</v>
      </c>
      <c r="J20" s="15"/>
      <c r="K20" s="15"/>
      <c r="L20" s="15"/>
      <c r="M20" s="15"/>
      <c r="N20" t="str">
        <f t="shared" si="2"/>
        <v>ActivityActivity(ST)-Curriculum(CSOD)Register Upon Approval</v>
      </c>
      <c r="O20" t="b">
        <f t="shared" si="1"/>
        <v>0</v>
      </c>
      <c r="P20" t="e">
        <f>VLOOKUP(N20,'[1]Sheet1 (2)'!$L:$M,2,0)</f>
        <v>#N/A</v>
      </c>
    </row>
    <row r="21" spans="1:16" ht="48" hidden="1" x14ac:dyDescent="0.2">
      <c r="A21" s="13" t="s">
        <v>46</v>
      </c>
      <c r="B21" s="13" t="s">
        <v>93</v>
      </c>
      <c r="C21" s="13" t="s">
        <v>88</v>
      </c>
      <c r="D21" s="14" t="s">
        <v>77</v>
      </c>
      <c r="E21" s="15" t="s">
        <v>17</v>
      </c>
      <c r="F21" s="15" t="s">
        <v>18</v>
      </c>
      <c r="G21" s="15"/>
      <c r="H21" s="14" t="b">
        <v>0</v>
      </c>
      <c r="I21" s="17" t="s">
        <v>19</v>
      </c>
      <c r="J21" s="15"/>
      <c r="K21" s="15"/>
      <c r="L21" s="15"/>
      <c r="M21" s="15"/>
      <c r="N21" t="str">
        <f t="shared" si="2"/>
        <v>ActivityActivity(ST)-Curriculum(CSOD)Pre-Approved</v>
      </c>
      <c r="O21" t="b">
        <f t="shared" si="1"/>
        <v>0</v>
      </c>
      <c r="P21" t="e">
        <f>VLOOKUP(N21,'[1]Sheet1 (2)'!$L:$M,2,0)</f>
        <v>#N/A</v>
      </c>
    </row>
    <row r="22" spans="1:16" ht="48" hidden="1" x14ac:dyDescent="0.2">
      <c r="A22" s="13" t="s">
        <v>46</v>
      </c>
      <c r="B22" s="13" t="s">
        <v>93</v>
      </c>
      <c r="C22" s="13" t="s">
        <v>88</v>
      </c>
      <c r="D22" s="14" t="s">
        <v>78</v>
      </c>
      <c r="E22" s="15" t="s">
        <v>17</v>
      </c>
      <c r="F22" s="15" t="s">
        <v>18</v>
      </c>
      <c r="G22" s="15"/>
      <c r="H22" s="14" t="b">
        <v>0</v>
      </c>
      <c r="I22" s="17" t="s">
        <v>19</v>
      </c>
      <c r="J22" s="15"/>
      <c r="K22" s="15"/>
      <c r="L22" s="15"/>
      <c r="M22" s="15"/>
      <c r="N22" t="str">
        <f t="shared" si="2"/>
        <v>ActivityActivity(ST)-Curriculum(CSOD)Includes Subordinates</v>
      </c>
      <c r="O22" t="b">
        <f t="shared" si="1"/>
        <v>0</v>
      </c>
      <c r="P22" t="e">
        <f>VLOOKUP(N22,'[1]Sheet1 (2)'!$L:$M,2,0)</f>
        <v>#N/A</v>
      </c>
    </row>
    <row r="23" spans="1:16" hidden="1" x14ac:dyDescent="0.2">
      <c r="A23" s="13" t="s">
        <v>46</v>
      </c>
      <c r="B23" s="13" t="s">
        <v>93</v>
      </c>
      <c r="C23" s="13" t="s">
        <v>88</v>
      </c>
      <c r="D23" s="14" t="s">
        <v>79</v>
      </c>
      <c r="E23" s="15" t="s">
        <v>17</v>
      </c>
      <c r="F23" s="15"/>
      <c r="G23" s="15"/>
      <c r="H23" s="22" t="s">
        <v>79</v>
      </c>
      <c r="I23" s="15"/>
      <c r="J23" s="15"/>
      <c r="K23" s="15"/>
      <c r="L23" s="15"/>
      <c r="M23" s="15"/>
      <c r="N23" t="str">
        <f t="shared" si="2"/>
        <v>ActivityActivity(ST)-Curriculum(CSOD)Curriculum Player</v>
      </c>
      <c r="O23" t="str">
        <f t="shared" si="1"/>
        <v>Curriculum Player</v>
      </c>
      <c r="P23" t="e">
        <f>VLOOKUP(N23,'[1]Sheet1 (2)'!$L:$M,2,0)</f>
        <v>#N/A</v>
      </c>
    </row>
    <row r="24" spans="1:16" hidden="1" x14ac:dyDescent="0.2">
      <c r="A24" s="13" t="s">
        <v>46</v>
      </c>
      <c r="B24" s="13" t="s">
        <v>93</v>
      </c>
      <c r="C24" s="13" t="s">
        <v>88</v>
      </c>
      <c r="D24" s="14" t="s">
        <v>80</v>
      </c>
      <c r="E24" s="15" t="s">
        <v>17</v>
      </c>
      <c r="F24" s="15" t="s">
        <v>11</v>
      </c>
      <c r="G24" s="15"/>
      <c r="H24" s="15">
        <v>0</v>
      </c>
      <c r="I24" s="15"/>
      <c r="J24" s="15"/>
      <c r="K24" s="15"/>
      <c r="L24" s="15"/>
      <c r="M24" s="15"/>
      <c r="N24" t="str">
        <f t="shared" si="2"/>
        <v>ActivityActivity(ST)-Curriculum(CSOD)Recurrence</v>
      </c>
      <c r="O24">
        <f t="shared" si="1"/>
        <v>0</v>
      </c>
      <c r="P24" t="e">
        <f>VLOOKUP(N24,'[1]Sheet1 (2)'!$L:$M,2,0)</f>
        <v>#N/A</v>
      </c>
    </row>
    <row r="25" spans="1:16" hidden="1" x14ac:dyDescent="0.2">
      <c r="A25" s="13" t="s">
        <v>46</v>
      </c>
      <c r="B25" s="13" t="s">
        <v>93</v>
      </c>
      <c r="C25" s="13" t="s">
        <v>88</v>
      </c>
      <c r="D25" s="14" t="s">
        <v>81</v>
      </c>
      <c r="E25" s="15" t="s">
        <v>17</v>
      </c>
      <c r="F25" s="15" t="s">
        <v>82</v>
      </c>
      <c r="G25" s="15">
        <v>100</v>
      </c>
      <c r="H25" s="15"/>
      <c r="I25" s="15"/>
      <c r="J25" s="15"/>
      <c r="K25" s="15"/>
      <c r="L25" s="15"/>
      <c r="M25" s="15"/>
      <c r="N25" t="str">
        <f t="shared" si="2"/>
        <v>ActivityActivity(ST)-Curriculum(CSOD)Thumbnail</v>
      </c>
      <c r="O25" t="str">
        <f t="shared" si="1"/>
        <v/>
      </c>
      <c r="P25" t="e">
        <f>VLOOKUP(N25,'[1]Sheet1 (2)'!$L:$M,2,0)</f>
        <v>#N/A</v>
      </c>
    </row>
    <row r="26" spans="1:16" ht="48" hidden="1" x14ac:dyDescent="0.2">
      <c r="A26" s="13" t="s">
        <v>46</v>
      </c>
      <c r="B26" s="13" t="s">
        <v>93</v>
      </c>
      <c r="C26" s="13" t="s">
        <v>88</v>
      </c>
      <c r="D26" s="14" t="s">
        <v>83</v>
      </c>
      <c r="E26" s="15" t="s">
        <v>17</v>
      </c>
      <c r="F26" s="15" t="s">
        <v>18</v>
      </c>
      <c r="G26" s="15"/>
      <c r="H26" s="15" t="b">
        <v>0</v>
      </c>
      <c r="I26" s="17" t="s">
        <v>19</v>
      </c>
      <c r="J26" s="15"/>
      <c r="K26" s="15"/>
      <c r="L26" s="15"/>
      <c r="M26" s="15"/>
      <c r="N26" t="str">
        <f t="shared" si="2"/>
        <v>ActivityActivity(ST)-Curriculum(CSOD)Exclude from Course Recommendations</v>
      </c>
      <c r="O26" t="b">
        <f t="shared" si="1"/>
        <v>0</v>
      </c>
      <c r="P26" t="e">
        <f>VLOOKUP(N26,'[1]Sheet1 (2)'!$L:$M,2,0)</f>
        <v>#N/A</v>
      </c>
    </row>
    <row r="27" spans="1:16" hidden="1" x14ac:dyDescent="0.2">
      <c r="A27" s="13" t="s">
        <v>46</v>
      </c>
      <c r="B27" s="13" t="s">
        <v>93</v>
      </c>
      <c r="C27" s="13" t="s">
        <v>88</v>
      </c>
      <c r="D27" s="14" t="s">
        <v>84</v>
      </c>
      <c r="E27" s="15" t="s">
        <v>17</v>
      </c>
      <c r="F27" s="15" t="s">
        <v>85</v>
      </c>
      <c r="G27" s="15"/>
      <c r="H27" s="22" t="s">
        <v>86</v>
      </c>
      <c r="I27" s="15" t="s">
        <v>87</v>
      </c>
      <c r="J27" s="15"/>
      <c r="K27" s="15"/>
      <c r="L27" s="15"/>
      <c r="M27" s="15"/>
      <c r="N27" t="str">
        <f t="shared" si="2"/>
        <v>ActivityActivity(ST)-Curriculum(CSOD)Emails</v>
      </c>
      <c r="O27" t="str">
        <f t="shared" si="1"/>
        <v>No Email</v>
      </c>
      <c r="P27" t="e">
        <f>VLOOKUP(N27,'[1]Sheet1 (2)'!$L:$M,2,0)</f>
        <v>#N/A</v>
      </c>
    </row>
    <row r="28" spans="1:16" hidden="1" x14ac:dyDescent="0.2">
      <c r="A28" s="13" t="s">
        <v>46</v>
      </c>
      <c r="B28" s="13"/>
      <c r="C28" s="13" t="s">
        <v>106</v>
      </c>
      <c r="D28" s="14" t="s">
        <v>47</v>
      </c>
      <c r="E28" s="15" t="s">
        <v>10</v>
      </c>
      <c r="F28" s="15" t="s">
        <v>11</v>
      </c>
      <c r="G28" s="15">
        <v>128</v>
      </c>
      <c r="H28" s="15"/>
      <c r="I28" s="15"/>
      <c r="J28" s="15" t="s">
        <v>94</v>
      </c>
      <c r="K28" s="15" t="s">
        <v>13</v>
      </c>
      <c r="L28" s="15">
        <v>255</v>
      </c>
      <c r="M28" s="13"/>
      <c r="N28" t="str">
        <f t="shared" si="2"/>
        <v>ActivityActivity(ST)-CurriculumStructure(CSOD)Curriculum ID*</v>
      </c>
      <c r="O28" t="str">
        <f t="shared" si="1"/>
        <v/>
      </c>
      <c r="P28" t="str">
        <f>VLOOKUP(N28,'[1]Sheet1 (2)'!$L:$M,2,0)</f>
        <v/>
      </c>
    </row>
    <row r="29" spans="1:16" hidden="1" x14ac:dyDescent="0.2">
      <c r="A29" s="13" t="s">
        <v>46</v>
      </c>
      <c r="B29" s="13"/>
      <c r="C29" s="13" t="s">
        <v>106</v>
      </c>
      <c r="D29" s="14" t="s">
        <v>95</v>
      </c>
      <c r="E29" s="15" t="s">
        <v>10</v>
      </c>
      <c r="F29" s="15" t="s">
        <v>96</v>
      </c>
      <c r="G29" s="15">
        <v>999</v>
      </c>
      <c r="H29" s="15">
        <v>1</v>
      </c>
      <c r="I29" s="15"/>
      <c r="J29" s="15"/>
      <c r="K29" s="15"/>
      <c r="L29" s="15"/>
      <c r="M29" s="13"/>
      <c r="N29" t="str">
        <f t="shared" si="2"/>
        <v>ActivityActivity(ST)-CurriculumStructure(CSOD)Section #*</v>
      </c>
      <c r="O29">
        <f t="shared" si="1"/>
        <v>1</v>
      </c>
      <c r="P29" t="str">
        <f>VLOOKUP(N29,'[1]Sheet1 (2)'!$L:$M,2,0)</f>
        <v/>
      </c>
    </row>
    <row r="30" spans="1:16" hidden="1" x14ac:dyDescent="0.2">
      <c r="A30" s="13" t="s">
        <v>46</v>
      </c>
      <c r="B30" s="13"/>
      <c r="C30" s="13" t="s">
        <v>106</v>
      </c>
      <c r="D30" s="14" t="s">
        <v>97</v>
      </c>
      <c r="E30" s="15" t="s">
        <v>10</v>
      </c>
      <c r="F30" s="15" t="s">
        <v>11</v>
      </c>
      <c r="G30" s="15">
        <v>500</v>
      </c>
      <c r="H30" s="15" t="s">
        <v>98</v>
      </c>
      <c r="I30" s="15"/>
      <c r="J30" s="14" t="s">
        <v>50</v>
      </c>
      <c r="K30" s="15"/>
      <c r="L30" s="15"/>
      <c r="M30" s="13"/>
      <c r="N30" t="str">
        <f t="shared" si="2"/>
        <v>ActivityActivity(ST)-CurriculumStructure(CSOD)Section Name*</v>
      </c>
      <c r="O30" t="str">
        <f t="shared" si="1"/>
        <v>Current Section Name</v>
      </c>
      <c r="P30" t="str">
        <f>VLOOKUP(N30,'[1]Sheet1 (2)'!$L:$M,2,0)</f>
        <v/>
      </c>
    </row>
    <row r="31" spans="1:16" hidden="1" x14ac:dyDescent="0.2">
      <c r="A31" s="13" t="s">
        <v>46</v>
      </c>
      <c r="B31" s="13"/>
      <c r="C31" s="13" t="s">
        <v>106</v>
      </c>
      <c r="D31" s="14" t="s">
        <v>99</v>
      </c>
      <c r="E31" s="15" t="s">
        <v>10</v>
      </c>
      <c r="F31" s="15" t="s">
        <v>11</v>
      </c>
      <c r="G31" s="15">
        <v>100</v>
      </c>
      <c r="H31" s="15"/>
      <c r="I31" s="15"/>
      <c r="J31" s="15" t="s">
        <v>52</v>
      </c>
      <c r="K31" s="15" t="s">
        <v>13</v>
      </c>
      <c r="L31" s="15">
        <v>255</v>
      </c>
      <c r="M31" s="13"/>
      <c r="N31" t="str">
        <f t="shared" si="2"/>
        <v>ActivityActivity(ST)-CurriculumStructure(CSOD)Child LO ID*</v>
      </c>
      <c r="O31" t="str">
        <f t="shared" si="1"/>
        <v/>
      </c>
      <c r="P31" t="str">
        <f>VLOOKUP(N31,'[1]Sheet1 (2)'!$L:$M,2,0)</f>
        <v/>
      </c>
    </row>
    <row r="32" spans="1:16" hidden="1" x14ac:dyDescent="0.2">
      <c r="A32" s="13" t="s">
        <v>46</v>
      </c>
      <c r="B32" s="13"/>
      <c r="C32" s="13" t="s">
        <v>106</v>
      </c>
      <c r="D32" s="14" t="s">
        <v>100</v>
      </c>
      <c r="E32" s="15" t="s">
        <v>17</v>
      </c>
      <c r="F32" s="15" t="s">
        <v>96</v>
      </c>
      <c r="G32" s="15"/>
      <c r="H32" s="15">
        <v>1</v>
      </c>
      <c r="I32" s="15"/>
      <c r="J32" s="15"/>
      <c r="K32" s="15"/>
      <c r="L32" s="15"/>
      <c r="M32" s="13"/>
      <c r="N32" t="str">
        <f t="shared" si="2"/>
        <v>ActivityActivity(ST)-CurriculumStructure(CSOD)Course Play Order</v>
      </c>
      <c r="O32">
        <f t="shared" si="1"/>
        <v>1</v>
      </c>
      <c r="P32" t="str">
        <f>VLOOKUP(N32,'[1]Sheet1 (2)'!$L:$M,2,0)</f>
        <v/>
      </c>
    </row>
    <row r="33" spans="1:16" ht="48" hidden="1" x14ac:dyDescent="0.2">
      <c r="A33" s="13" t="s">
        <v>46</v>
      </c>
      <c r="B33" s="13"/>
      <c r="C33" s="13" t="s">
        <v>106</v>
      </c>
      <c r="D33" s="14" t="s">
        <v>101</v>
      </c>
      <c r="E33" s="15" t="s">
        <v>17</v>
      </c>
      <c r="F33" s="15" t="s">
        <v>18</v>
      </c>
      <c r="G33" s="15">
        <v>999</v>
      </c>
      <c r="H33" s="15" t="b">
        <v>0</v>
      </c>
      <c r="I33" s="17" t="s">
        <v>19</v>
      </c>
      <c r="J33" s="15"/>
      <c r="K33" s="15"/>
      <c r="L33" s="15"/>
      <c r="M33" s="13"/>
      <c r="N33" t="str">
        <f t="shared" si="2"/>
        <v>ActivityActivity(ST)-CurriculumStructure(CSOD)Pay Upfront</v>
      </c>
      <c r="O33" t="b">
        <f t="shared" si="1"/>
        <v>0</v>
      </c>
      <c r="P33" t="b">
        <f>VLOOKUP(N33,'[1]Sheet1 (2)'!$L:$M,2,0)</f>
        <v>0</v>
      </c>
    </row>
    <row r="34" spans="1:16" ht="48" hidden="1" x14ac:dyDescent="0.2">
      <c r="A34" s="13" t="s">
        <v>46</v>
      </c>
      <c r="B34" s="13"/>
      <c r="C34" s="13" t="s">
        <v>106</v>
      </c>
      <c r="D34" s="14" t="s">
        <v>102</v>
      </c>
      <c r="E34" s="15" t="s">
        <v>17</v>
      </c>
      <c r="F34" s="15" t="s">
        <v>18</v>
      </c>
      <c r="G34" s="15"/>
      <c r="H34" s="15" t="b">
        <v>0</v>
      </c>
      <c r="I34" s="17" t="s">
        <v>19</v>
      </c>
      <c r="J34" s="15"/>
      <c r="K34" s="15"/>
      <c r="L34" s="15"/>
      <c r="M34" s="13"/>
      <c r="N34" t="str">
        <f t="shared" si="2"/>
        <v>ActivityActivity(ST)-CurriculumStructure(CSOD)Pre Approve</v>
      </c>
      <c r="O34" t="b">
        <f t="shared" si="1"/>
        <v>0</v>
      </c>
      <c r="P34" t="b">
        <f>VLOOKUP(N34,'[1]Sheet1 (2)'!$L:$M,2,0)</f>
        <v>0</v>
      </c>
    </row>
    <row r="35" spans="1:16" ht="48" hidden="1" x14ac:dyDescent="0.2">
      <c r="A35" s="13" t="s">
        <v>46</v>
      </c>
      <c r="B35" s="13"/>
      <c r="C35" s="13" t="s">
        <v>106</v>
      </c>
      <c r="D35" s="14" t="s">
        <v>103</v>
      </c>
      <c r="E35" s="15" t="s">
        <v>17</v>
      </c>
      <c r="F35" s="15" t="s">
        <v>18</v>
      </c>
      <c r="G35" s="15"/>
      <c r="H35" s="15" t="b">
        <v>0</v>
      </c>
      <c r="I35" s="17" t="s">
        <v>19</v>
      </c>
      <c r="J35" s="15"/>
      <c r="K35" s="15"/>
      <c r="L35" s="15"/>
      <c r="M35" s="13"/>
      <c r="N35" t="str">
        <f t="shared" si="2"/>
        <v>ActivityActivity(ST)-CurriculumStructure(CSOD)Auto Register</v>
      </c>
      <c r="O35" t="b">
        <f t="shared" si="1"/>
        <v>0</v>
      </c>
      <c r="P35" t="b">
        <f>VLOOKUP(N35,'[1]Sheet1 (2)'!$L:$M,2,0)</f>
        <v>0</v>
      </c>
    </row>
    <row r="36" spans="1:16" ht="48" hidden="1" x14ac:dyDescent="0.2">
      <c r="A36" s="13" t="s">
        <v>46</v>
      </c>
      <c r="B36" s="13"/>
      <c r="C36" s="13" t="s">
        <v>106</v>
      </c>
      <c r="D36" s="14" t="s">
        <v>104</v>
      </c>
      <c r="E36" s="15" t="s">
        <v>17</v>
      </c>
      <c r="F36" s="15" t="s">
        <v>18</v>
      </c>
      <c r="G36" s="15"/>
      <c r="H36" s="15" t="b">
        <v>0</v>
      </c>
      <c r="I36" s="17" t="s">
        <v>19</v>
      </c>
      <c r="J36" s="15"/>
      <c r="K36" s="15"/>
      <c r="L36" s="15"/>
      <c r="M36" s="13"/>
      <c r="N36" t="str">
        <f t="shared" si="2"/>
        <v>ActivityActivity(ST)-CurriculumStructure(CSOD)Auto Launch</v>
      </c>
      <c r="O36" t="b">
        <f t="shared" si="1"/>
        <v>0</v>
      </c>
      <c r="P36" t="b">
        <f>VLOOKUP(N36,'[1]Sheet1 (2)'!$L:$M,2,0)</f>
        <v>0</v>
      </c>
    </row>
    <row r="37" spans="1:16" hidden="1" x14ac:dyDescent="0.2">
      <c r="A37" s="13" t="s">
        <v>46</v>
      </c>
      <c r="B37" s="13"/>
      <c r="C37" s="13" t="s">
        <v>106</v>
      </c>
      <c r="D37" s="14" t="s">
        <v>105</v>
      </c>
      <c r="E37" s="15" t="s">
        <v>17</v>
      </c>
      <c r="F37" s="15" t="s">
        <v>11</v>
      </c>
      <c r="G37" s="15">
        <v>128</v>
      </c>
      <c r="H37" s="15"/>
      <c r="I37" s="15"/>
      <c r="J37" s="15"/>
      <c r="K37" s="15"/>
      <c r="L37" s="15"/>
      <c r="M37" s="13"/>
      <c r="N37" t="str">
        <f t="shared" si="2"/>
        <v>ActivityActivity(ST)-CurriculumStructure(CSOD)Modified By</v>
      </c>
      <c r="O37" t="str">
        <f t="shared" si="1"/>
        <v/>
      </c>
      <c r="P37" t="str">
        <f>VLOOKUP(N37,'[1]Sheet1 (2)'!$L:$M,2,0)</f>
        <v/>
      </c>
    </row>
    <row r="38" spans="1:16" hidden="1" x14ac:dyDescent="0.2">
      <c r="A38" s="13" t="s">
        <v>46</v>
      </c>
      <c r="B38" s="13" t="s">
        <v>110</v>
      </c>
      <c r="C38" s="13" t="s">
        <v>134</v>
      </c>
      <c r="D38" s="15" t="s">
        <v>107</v>
      </c>
      <c r="E38" s="15" t="s">
        <v>10</v>
      </c>
      <c r="F38" s="15" t="s">
        <v>11</v>
      </c>
      <c r="G38" s="15">
        <v>100</v>
      </c>
      <c r="H38" s="15"/>
      <c r="I38" s="15"/>
      <c r="J38" s="15" t="s">
        <v>94</v>
      </c>
      <c r="K38" s="15" t="s">
        <v>13</v>
      </c>
      <c r="L38" s="15">
        <v>255</v>
      </c>
      <c r="M38" s="15"/>
      <c r="N38" t="str">
        <f t="shared" si="2"/>
        <v>ActivityDocument(ST)-Material(CSOD)Material ID*</v>
      </c>
      <c r="O38" t="str">
        <f t="shared" si="1"/>
        <v/>
      </c>
      <c r="P38" t="str">
        <f>VLOOKUP(N38,'[1]Sheet1 (2)'!$L:$M,2,0)</f>
        <v/>
      </c>
    </row>
    <row r="39" spans="1:16" hidden="1" x14ac:dyDescent="0.2">
      <c r="A39" s="13" t="s">
        <v>46</v>
      </c>
      <c r="B39" s="13" t="s">
        <v>110</v>
      </c>
      <c r="C39" s="13" t="s">
        <v>134</v>
      </c>
      <c r="D39" s="15" t="s">
        <v>108</v>
      </c>
      <c r="E39" s="15" t="s">
        <v>10</v>
      </c>
      <c r="F39" s="15" t="s">
        <v>11</v>
      </c>
      <c r="G39" s="15">
        <v>500</v>
      </c>
      <c r="H39" s="15"/>
      <c r="I39" s="15"/>
      <c r="J39" s="15" t="s">
        <v>54</v>
      </c>
      <c r="K39" s="15" t="s">
        <v>13</v>
      </c>
      <c r="L39" s="15">
        <v>300</v>
      </c>
      <c r="M39" s="15"/>
      <c r="N39" t="str">
        <f t="shared" si="2"/>
        <v>ActivityDocument(ST)-Material(CSOD)Material Title*</v>
      </c>
      <c r="O39" t="str">
        <f t="shared" si="1"/>
        <v/>
      </c>
      <c r="P39" t="str">
        <f>VLOOKUP(N39,'[1]Sheet1 (2)'!$L:$M,2,0)</f>
        <v/>
      </c>
    </row>
    <row r="40" spans="1:16" hidden="1" x14ac:dyDescent="0.2">
      <c r="A40" s="13" t="s">
        <v>46</v>
      </c>
      <c r="B40" s="13" t="s">
        <v>110</v>
      </c>
      <c r="C40" s="13" t="s">
        <v>134</v>
      </c>
      <c r="D40" s="15" t="s">
        <v>55</v>
      </c>
      <c r="E40" s="15" t="s">
        <v>10</v>
      </c>
      <c r="F40" s="15" t="s">
        <v>11</v>
      </c>
      <c r="G40" s="15">
        <v>100</v>
      </c>
      <c r="H40" s="15"/>
      <c r="I40" s="15"/>
      <c r="J40" s="15" t="s">
        <v>57</v>
      </c>
      <c r="K40" s="15" t="s">
        <v>13</v>
      </c>
      <c r="L40" s="15">
        <v>100</v>
      </c>
      <c r="M40" s="15"/>
      <c r="N40" t="str">
        <f t="shared" si="2"/>
        <v>ActivityDocument(ST)-Material(CSOD)Vendor/Provider*</v>
      </c>
      <c r="O40" t="str">
        <f t="shared" si="1"/>
        <v/>
      </c>
      <c r="P40" t="str">
        <f>VLOOKUP(N40,'[1]Sheet1 (2)'!$L:$M,2,0)</f>
        <v/>
      </c>
    </row>
    <row r="41" spans="1:16" hidden="1" x14ac:dyDescent="0.2">
      <c r="A41" s="13" t="s">
        <v>46</v>
      </c>
      <c r="B41" s="13" t="s">
        <v>110</v>
      </c>
      <c r="C41" s="13" t="s">
        <v>134</v>
      </c>
      <c r="D41" s="15" t="s">
        <v>58</v>
      </c>
      <c r="E41" s="15" t="s">
        <v>10</v>
      </c>
      <c r="F41" s="15" t="s">
        <v>11</v>
      </c>
      <c r="G41" s="15"/>
      <c r="H41" s="15" t="s">
        <v>59</v>
      </c>
      <c r="I41" s="15" t="s">
        <v>60</v>
      </c>
      <c r="J41" s="15"/>
      <c r="K41" s="15"/>
      <c r="L41" s="15"/>
      <c r="M41" s="15"/>
      <c r="N41" t="str">
        <f t="shared" si="2"/>
        <v>ActivityDocument(ST)-Material(CSOD)Provider type*</v>
      </c>
      <c r="O41" t="str">
        <f t="shared" si="1"/>
        <v>ONLINE</v>
      </c>
      <c r="P41" t="str">
        <f>VLOOKUP(N41,'[1]Sheet1 (2)'!$L:$M,2,0)</f>
        <v/>
      </c>
    </row>
    <row r="42" spans="1:16" hidden="1" x14ac:dyDescent="0.2">
      <c r="A42" s="13" t="s">
        <v>46</v>
      </c>
      <c r="B42" s="13" t="s">
        <v>110</v>
      </c>
      <c r="C42" s="13" t="s">
        <v>134</v>
      </c>
      <c r="D42" s="15" t="s">
        <v>109</v>
      </c>
      <c r="E42" s="15" t="s">
        <v>10</v>
      </c>
      <c r="F42" s="15" t="s">
        <v>11</v>
      </c>
      <c r="G42" s="15"/>
      <c r="H42" s="15" t="s">
        <v>110</v>
      </c>
      <c r="I42" s="15"/>
      <c r="J42" s="15" t="s">
        <v>111</v>
      </c>
      <c r="K42" s="15" t="s">
        <v>13</v>
      </c>
      <c r="L42" s="15">
        <v>300</v>
      </c>
      <c r="M42" s="15"/>
      <c r="N42" t="str">
        <f t="shared" si="2"/>
        <v>ActivityDocument(ST)-Material(CSOD)Material Type ID*</v>
      </c>
      <c r="O42" t="str">
        <f t="shared" si="1"/>
        <v>Document</v>
      </c>
      <c r="P42" t="str">
        <f>VLOOKUP(N42,'[1]Sheet1 (2)'!$L:$M,2,0)</f>
        <v/>
      </c>
    </row>
    <row r="43" spans="1:16" ht="48" hidden="1" x14ac:dyDescent="0.2">
      <c r="A43" s="13" t="s">
        <v>46</v>
      </c>
      <c r="B43" s="13" t="s">
        <v>110</v>
      </c>
      <c r="C43" s="13" t="s">
        <v>134</v>
      </c>
      <c r="D43" s="15" t="s">
        <v>16</v>
      </c>
      <c r="E43" s="15" t="s">
        <v>17</v>
      </c>
      <c r="F43" s="15" t="s">
        <v>18</v>
      </c>
      <c r="G43" s="15"/>
      <c r="H43" s="15" t="b">
        <v>0</v>
      </c>
      <c r="I43" s="17" t="s">
        <v>19</v>
      </c>
      <c r="J43" s="15" t="s">
        <v>16</v>
      </c>
      <c r="K43" s="15" t="s">
        <v>25</v>
      </c>
      <c r="L43" s="15"/>
      <c r="M43" s="15" t="s">
        <v>26</v>
      </c>
      <c r="N43" t="str">
        <f t="shared" si="2"/>
        <v>ActivityDocument(ST)-Material(CSOD)Active</v>
      </c>
      <c r="O43" t="b">
        <f t="shared" si="1"/>
        <v>0</v>
      </c>
      <c r="P43" t="b">
        <f>VLOOKUP(N43,'[1]Sheet1 (2)'!$L:$M,2,0)</f>
        <v>0</v>
      </c>
    </row>
    <row r="44" spans="1:16" s="21" customFormat="1" ht="160" hidden="1" x14ac:dyDescent="0.2">
      <c r="A44" s="23" t="s">
        <v>46</v>
      </c>
      <c r="B44" s="23" t="s">
        <v>110</v>
      </c>
      <c r="C44" s="23" t="s">
        <v>134</v>
      </c>
      <c r="D44" s="19" t="s">
        <v>61</v>
      </c>
      <c r="E44" s="19" t="s">
        <v>17</v>
      </c>
      <c r="F44" s="19" t="s">
        <v>96</v>
      </c>
      <c r="G44" s="19"/>
      <c r="H44" s="20">
        <v>1</v>
      </c>
      <c r="I44" s="20" t="s">
        <v>298</v>
      </c>
      <c r="J44" s="19" t="s">
        <v>112</v>
      </c>
      <c r="K44" s="19" t="s">
        <v>13</v>
      </c>
      <c r="L44" s="19">
        <v>100</v>
      </c>
      <c r="M44" s="19"/>
      <c r="N44" t="str">
        <f t="shared" si="2"/>
        <v>ActivityDocument(ST)-Material(CSOD)Default Language</v>
      </c>
      <c r="O44">
        <f t="shared" si="1"/>
        <v>1</v>
      </c>
      <c r="P44">
        <f>VLOOKUP(N44,'[1]Sheet1 (2)'!$L:$M,2,0)</f>
        <v>1</v>
      </c>
    </row>
    <row r="45" spans="1:16" hidden="1" x14ac:dyDescent="0.2">
      <c r="A45" s="13" t="s">
        <v>46</v>
      </c>
      <c r="B45" s="13" t="s">
        <v>110</v>
      </c>
      <c r="C45" s="13" t="s">
        <v>134</v>
      </c>
      <c r="D45" s="15" t="s">
        <v>113</v>
      </c>
      <c r="E45" s="15" t="s">
        <v>17</v>
      </c>
      <c r="F45" s="15" t="s">
        <v>114</v>
      </c>
      <c r="G45" s="15"/>
      <c r="H45" s="15"/>
      <c r="I45" s="15"/>
      <c r="J45" s="15" t="s">
        <v>115</v>
      </c>
      <c r="K45" s="15" t="s">
        <v>116</v>
      </c>
      <c r="L45" s="15"/>
      <c r="M45" s="15"/>
      <c r="N45" t="str">
        <f t="shared" si="2"/>
        <v>ActivityDocument(ST)-Material(CSOD)Training Hours</v>
      </c>
      <c r="O45" t="str">
        <f t="shared" si="1"/>
        <v/>
      </c>
      <c r="P45" t="str">
        <f>VLOOKUP(N45,'[1]Sheet1 (2)'!$L:$M,2,0)</f>
        <v/>
      </c>
    </row>
    <row r="46" spans="1:16" hidden="1" x14ac:dyDescent="0.2">
      <c r="A46" s="13" t="s">
        <v>46</v>
      </c>
      <c r="B46" s="13" t="s">
        <v>110</v>
      </c>
      <c r="C46" s="13" t="s">
        <v>134</v>
      </c>
      <c r="D46" s="15" t="s">
        <v>117</v>
      </c>
      <c r="E46" s="15" t="s">
        <v>17</v>
      </c>
      <c r="F46" s="15" t="s">
        <v>11</v>
      </c>
      <c r="G46" s="15">
        <v>5000</v>
      </c>
      <c r="H46" s="15"/>
      <c r="I46" s="15"/>
      <c r="J46" s="15" t="s">
        <v>118</v>
      </c>
      <c r="K46" s="15" t="s">
        <v>13</v>
      </c>
      <c r="L46" s="15">
        <v>4000</v>
      </c>
      <c r="M46" s="15"/>
      <c r="N46" t="str">
        <f t="shared" si="2"/>
        <v>ActivityDocument(ST)-Material(CSOD)Material Description</v>
      </c>
      <c r="O46" t="str">
        <f t="shared" si="1"/>
        <v/>
      </c>
      <c r="P46" t="str">
        <f>VLOOKUP(N46,'[1]Sheet1 (2)'!$L:$M,2,0)</f>
        <v/>
      </c>
    </row>
    <row r="47" spans="1:16" hidden="1" x14ac:dyDescent="0.2">
      <c r="A47" s="13" t="s">
        <v>46</v>
      </c>
      <c r="B47" s="13" t="s">
        <v>110</v>
      </c>
      <c r="C47" s="13" t="s">
        <v>134</v>
      </c>
      <c r="D47" s="15" t="s">
        <v>119</v>
      </c>
      <c r="E47" s="15" t="s">
        <v>17</v>
      </c>
      <c r="F47" s="15" t="s">
        <v>11</v>
      </c>
      <c r="G47" s="15">
        <v>100</v>
      </c>
      <c r="H47" s="15"/>
      <c r="I47" s="15"/>
      <c r="J47" s="15"/>
      <c r="K47" s="15"/>
      <c r="L47" s="15"/>
      <c r="M47" s="15"/>
      <c r="N47" t="str">
        <f t="shared" si="2"/>
        <v>ActivityDocument(ST)-Material(CSOD)File Name</v>
      </c>
      <c r="O47" t="str">
        <f t="shared" si="1"/>
        <v/>
      </c>
      <c r="P47" t="str">
        <f>VLOOKUP(N47,'[1]Sheet1 (2)'!$L:$M,2,0)</f>
        <v/>
      </c>
    </row>
    <row r="48" spans="1:16" hidden="1" x14ac:dyDescent="0.2">
      <c r="A48" s="13" t="s">
        <v>46</v>
      </c>
      <c r="B48" s="13" t="s">
        <v>110</v>
      </c>
      <c r="C48" s="13" t="s">
        <v>134</v>
      </c>
      <c r="D48" s="15" t="s">
        <v>120</v>
      </c>
      <c r="E48" s="15" t="s">
        <v>17</v>
      </c>
      <c r="F48" s="15" t="s">
        <v>11</v>
      </c>
      <c r="G48" s="15">
        <v>1000</v>
      </c>
      <c r="H48" s="24" t="s">
        <v>121</v>
      </c>
      <c r="I48" s="15"/>
      <c r="J48" s="15"/>
      <c r="K48" s="15"/>
      <c r="L48" s="15"/>
      <c r="M48" s="15"/>
      <c r="N48" t="str">
        <f t="shared" si="2"/>
        <v>ActivityDocument(ST)-Material(CSOD)URL</v>
      </c>
      <c r="O48" t="str">
        <f t="shared" si="1"/>
        <v>https://www.antennahouse.com/hubfs/xsl-fo-sample/pdf/basic-link-1.pdf</v>
      </c>
      <c r="P48" t="str">
        <f>VLOOKUP(N48,'[1]Sheet1 (2)'!$L:$M,2,0)</f>
        <v/>
      </c>
    </row>
    <row r="49" spans="1:16" hidden="1" x14ac:dyDescent="0.2">
      <c r="A49" s="13" t="s">
        <v>46</v>
      </c>
      <c r="B49" s="13" t="s">
        <v>110</v>
      </c>
      <c r="C49" s="13" t="s">
        <v>134</v>
      </c>
      <c r="D49" s="15" t="s">
        <v>122</v>
      </c>
      <c r="E49" s="15" t="s">
        <v>17</v>
      </c>
      <c r="F49" s="15" t="s">
        <v>11</v>
      </c>
      <c r="G49" s="15"/>
      <c r="H49" s="22" t="s">
        <v>123</v>
      </c>
      <c r="I49" s="15"/>
      <c r="J49" s="15"/>
      <c r="K49" s="15"/>
      <c r="L49" s="15"/>
      <c r="M49" s="15"/>
      <c r="N49" t="str">
        <f t="shared" si="2"/>
        <v>ActivityDocument(ST)-Material(CSOD)File Localization</v>
      </c>
      <c r="O49" t="str">
        <f t="shared" si="1"/>
        <v>en-US</v>
      </c>
      <c r="P49" t="str">
        <f>VLOOKUP(N49,'[1]Sheet1 (2)'!$L:$M,2,0)</f>
        <v>en-US</v>
      </c>
    </row>
    <row r="50" spans="1:16" hidden="1" x14ac:dyDescent="0.2">
      <c r="A50" s="13" t="s">
        <v>46</v>
      </c>
      <c r="B50" s="13" t="s">
        <v>110</v>
      </c>
      <c r="C50" s="13" t="s">
        <v>134</v>
      </c>
      <c r="D50" s="15" t="s">
        <v>71</v>
      </c>
      <c r="E50" s="15" t="s">
        <v>17</v>
      </c>
      <c r="F50" s="15" t="s">
        <v>11</v>
      </c>
      <c r="G50" s="15">
        <v>2000</v>
      </c>
      <c r="H50" s="15"/>
      <c r="I50" s="15"/>
      <c r="J50" s="15"/>
      <c r="K50" s="15"/>
      <c r="L50" s="15"/>
      <c r="M50" s="15"/>
      <c r="N50" t="str">
        <f t="shared" si="2"/>
        <v>ActivityDocument(ST)-Material(CSOD)Available Languages</v>
      </c>
      <c r="O50" t="str">
        <f t="shared" si="1"/>
        <v/>
      </c>
      <c r="P50" t="str">
        <f>VLOOKUP(N50,'[1]Sheet1 (2)'!$L:$M,2,0)</f>
        <v/>
      </c>
    </row>
    <row r="51" spans="1:16" hidden="1" x14ac:dyDescent="0.2">
      <c r="A51" s="13" t="s">
        <v>46</v>
      </c>
      <c r="B51" s="13" t="s">
        <v>110</v>
      </c>
      <c r="C51" s="13" t="s">
        <v>134</v>
      </c>
      <c r="D51" s="15" t="s">
        <v>70</v>
      </c>
      <c r="E51" s="15" t="s">
        <v>17</v>
      </c>
      <c r="F51" s="15" t="s">
        <v>11</v>
      </c>
      <c r="G51" s="15">
        <v>1000</v>
      </c>
      <c r="H51" s="15"/>
      <c r="I51" s="15"/>
      <c r="J51" s="15"/>
      <c r="K51" s="15"/>
      <c r="L51" s="15"/>
      <c r="M51" s="15"/>
      <c r="N51" t="str">
        <f t="shared" si="2"/>
        <v>ActivityDocument(ST)-Material(CSOD)Keywords</v>
      </c>
      <c r="O51" t="str">
        <f t="shared" si="1"/>
        <v/>
      </c>
      <c r="P51" t="str">
        <f>VLOOKUP(N51,'[1]Sheet1 (2)'!$L:$M,2,0)</f>
        <v/>
      </c>
    </row>
    <row r="52" spans="1:16" hidden="1" x14ac:dyDescent="0.2">
      <c r="A52" s="13" t="s">
        <v>46</v>
      </c>
      <c r="B52" s="13" t="s">
        <v>110</v>
      </c>
      <c r="C52" s="13" t="s">
        <v>134</v>
      </c>
      <c r="D52" s="15" t="s">
        <v>41</v>
      </c>
      <c r="E52" s="15" t="s">
        <v>17</v>
      </c>
      <c r="F52" s="15" t="s">
        <v>11</v>
      </c>
      <c r="G52" s="15">
        <v>128</v>
      </c>
      <c r="H52" s="15"/>
      <c r="I52" s="15"/>
      <c r="J52" s="15"/>
      <c r="K52" s="15"/>
      <c r="L52" s="15"/>
      <c r="M52" s="15"/>
      <c r="N52" t="str">
        <f t="shared" si="2"/>
        <v>ActivityDocument(ST)-Material(CSOD)Created/Modified By</v>
      </c>
      <c r="O52" t="str">
        <f t="shared" si="1"/>
        <v/>
      </c>
      <c r="P52" t="str">
        <f>VLOOKUP(N52,'[1]Sheet1 (2)'!$L:$M,2,0)</f>
        <v/>
      </c>
    </row>
    <row r="53" spans="1:16" ht="409.6" hidden="1" x14ac:dyDescent="0.2">
      <c r="A53" s="13" t="s">
        <v>46</v>
      </c>
      <c r="B53" s="13" t="s">
        <v>110</v>
      </c>
      <c r="C53" s="13" t="s">
        <v>134</v>
      </c>
      <c r="D53" s="15" t="s">
        <v>124</v>
      </c>
      <c r="E53" s="15" t="s">
        <v>10</v>
      </c>
      <c r="F53" s="15" t="s">
        <v>11</v>
      </c>
      <c r="G53" s="15"/>
      <c r="H53" s="1">
        <v>1382</v>
      </c>
      <c r="I53" s="20" t="s">
        <v>510</v>
      </c>
      <c r="J53" s="15" t="s">
        <v>63</v>
      </c>
      <c r="K53" s="15" t="s">
        <v>13</v>
      </c>
      <c r="L53" s="15">
        <v>100</v>
      </c>
      <c r="M53" s="15"/>
      <c r="N53" t="str">
        <f t="shared" si="2"/>
        <v>ActivityDocument(ST)-Material(CSOD)Subject IDs</v>
      </c>
      <c r="O53">
        <f t="shared" si="1"/>
        <v>1382</v>
      </c>
      <c r="P53" t="str">
        <f>VLOOKUP(N53,'[1]Sheet1 (2)'!$L:$M,2,0)</f>
        <v/>
      </c>
    </row>
    <row r="54" spans="1:16" ht="48" hidden="1" x14ac:dyDescent="0.2">
      <c r="A54" s="13" t="s">
        <v>46</v>
      </c>
      <c r="B54" s="13" t="s">
        <v>110</v>
      </c>
      <c r="C54" s="13" t="s">
        <v>134</v>
      </c>
      <c r="D54" s="15" t="s">
        <v>72</v>
      </c>
      <c r="E54" s="15" t="s">
        <v>17</v>
      </c>
      <c r="F54" s="15" t="s">
        <v>18</v>
      </c>
      <c r="G54" s="15"/>
      <c r="H54" s="15"/>
      <c r="I54" s="17" t="s">
        <v>19</v>
      </c>
      <c r="J54" s="15"/>
      <c r="K54" s="15"/>
      <c r="L54" s="15"/>
      <c r="M54" s="15"/>
      <c r="N54" t="str">
        <f t="shared" si="2"/>
        <v>ActivityDocument(ST)-Material(CSOD)Availability to All Users</v>
      </c>
      <c r="O54" t="str">
        <f t="shared" si="1"/>
        <v/>
      </c>
      <c r="P54" t="b">
        <f>VLOOKUP(N54,'[1]Sheet1 (2)'!$L:$M,2,0)</f>
        <v>0</v>
      </c>
    </row>
    <row r="55" spans="1:16" hidden="1" x14ac:dyDescent="0.2">
      <c r="A55" s="13" t="s">
        <v>46</v>
      </c>
      <c r="B55" s="13" t="s">
        <v>110</v>
      </c>
      <c r="C55" s="13" t="s">
        <v>134</v>
      </c>
      <c r="D55" s="15" t="s">
        <v>73</v>
      </c>
      <c r="E55" s="15" t="s">
        <v>17</v>
      </c>
      <c r="F55" s="15" t="s">
        <v>11</v>
      </c>
      <c r="G55" s="15">
        <v>200</v>
      </c>
      <c r="H55" s="15"/>
      <c r="I55" s="15"/>
      <c r="J55" s="15"/>
      <c r="K55" s="15"/>
      <c r="L55" s="15"/>
      <c r="M55" s="15"/>
      <c r="N55" t="str">
        <f t="shared" si="2"/>
        <v>ActivityDocument(ST)-Material(CSOD)Availability to Specific Users</v>
      </c>
      <c r="O55" t="str">
        <f t="shared" si="1"/>
        <v/>
      </c>
      <c r="P55" t="str">
        <f>VLOOKUP(N55,'[1]Sheet1 (2)'!$L:$M,2,0)</f>
        <v/>
      </c>
    </row>
    <row r="56" spans="1:16" hidden="1" x14ac:dyDescent="0.2">
      <c r="A56" s="13" t="s">
        <v>46</v>
      </c>
      <c r="B56" s="13" t="s">
        <v>110</v>
      </c>
      <c r="C56" s="13" t="s">
        <v>134</v>
      </c>
      <c r="D56" s="15" t="s">
        <v>74</v>
      </c>
      <c r="E56" s="15" t="s">
        <v>17</v>
      </c>
      <c r="F56" s="15" t="s">
        <v>11</v>
      </c>
      <c r="G56" s="15">
        <v>200</v>
      </c>
      <c r="H56" s="15"/>
      <c r="I56" s="15"/>
      <c r="J56" s="15"/>
      <c r="K56" s="15"/>
      <c r="L56" s="15"/>
      <c r="M56" s="15"/>
      <c r="N56" t="str">
        <f t="shared" si="2"/>
        <v>ActivityDocument(ST)-Material(CSOD)Availability to OU‡</v>
      </c>
      <c r="O56" t="str">
        <f t="shared" si="1"/>
        <v/>
      </c>
      <c r="P56" t="str">
        <f>VLOOKUP(N56,'[1]Sheet1 (2)'!$L:$M,2,0)</f>
        <v/>
      </c>
    </row>
    <row r="57" spans="1:16" hidden="1" x14ac:dyDescent="0.2">
      <c r="A57" s="13" t="s">
        <v>46</v>
      </c>
      <c r="B57" s="13" t="s">
        <v>110</v>
      </c>
      <c r="C57" s="13" t="s">
        <v>134</v>
      </c>
      <c r="D57" s="15" t="s">
        <v>75</v>
      </c>
      <c r="E57" s="15" t="s">
        <v>17</v>
      </c>
      <c r="F57" s="15" t="s">
        <v>11</v>
      </c>
      <c r="G57" s="15">
        <v>200</v>
      </c>
      <c r="H57" s="15"/>
      <c r="I57" s="15"/>
      <c r="J57" s="15"/>
      <c r="K57" s="15"/>
      <c r="L57" s="15"/>
      <c r="M57" s="15"/>
      <c r="N57" t="str">
        <f t="shared" si="2"/>
        <v>ActivityDocument(ST)-Material(CSOD)Availability OU Type</v>
      </c>
      <c r="O57" t="str">
        <f t="shared" si="1"/>
        <v/>
      </c>
      <c r="P57" t="str">
        <f>VLOOKUP(N57,'[1]Sheet1 (2)'!$L:$M,2,0)</f>
        <v/>
      </c>
    </row>
    <row r="58" spans="1:16" ht="48" hidden="1" x14ac:dyDescent="0.2">
      <c r="A58" s="13" t="s">
        <v>46</v>
      </c>
      <c r="B58" s="13" t="s">
        <v>110</v>
      </c>
      <c r="C58" s="13" t="s">
        <v>134</v>
      </c>
      <c r="D58" s="15" t="s">
        <v>76</v>
      </c>
      <c r="E58" s="15" t="s">
        <v>17</v>
      </c>
      <c r="F58" s="15" t="s">
        <v>18</v>
      </c>
      <c r="G58" s="15"/>
      <c r="H58" s="15" t="b">
        <v>0</v>
      </c>
      <c r="I58" s="17" t="s">
        <v>19</v>
      </c>
      <c r="J58" s="15"/>
      <c r="K58" s="15"/>
      <c r="L58" s="15"/>
      <c r="M58" s="15"/>
      <c r="N58" t="str">
        <f t="shared" si="2"/>
        <v>ActivityDocument(ST)-Material(CSOD)Register Upon Approval</v>
      </c>
      <c r="O58" t="b">
        <f t="shared" si="1"/>
        <v>0</v>
      </c>
      <c r="P58" t="b">
        <f>VLOOKUP(N58,'[1]Sheet1 (2)'!$L:$M,2,0)</f>
        <v>0</v>
      </c>
    </row>
    <row r="59" spans="1:16" ht="48" hidden="1" x14ac:dyDescent="0.2">
      <c r="A59" s="13" t="s">
        <v>46</v>
      </c>
      <c r="B59" s="13" t="s">
        <v>110</v>
      </c>
      <c r="C59" s="13" t="s">
        <v>134</v>
      </c>
      <c r="D59" s="15" t="s">
        <v>77</v>
      </c>
      <c r="E59" s="15" t="s">
        <v>17</v>
      </c>
      <c r="F59" s="15" t="s">
        <v>18</v>
      </c>
      <c r="G59" s="15"/>
      <c r="H59" s="15" t="b">
        <v>0</v>
      </c>
      <c r="I59" s="17" t="s">
        <v>19</v>
      </c>
      <c r="J59" s="15"/>
      <c r="K59" s="15"/>
      <c r="L59" s="15"/>
      <c r="M59" s="15"/>
      <c r="N59" t="str">
        <f t="shared" si="2"/>
        <v>ActivityDocument(ST)-Material(CSOD)Pre-Approved</v>
      </c>
      <c r="O59" t="b">
        <f t="shared" si="1"/>
        <v>0</v>
      </c>
      <c r="P59" t="b">
        <f>VLOOKUP(N59,'[1]Sheet1 (2)'!$L:$M,2,0)</f>
        <v>0</v>
      </c>
    </row>
    <row r="60" spans="1:16" ht="48" hidden="1" x14ac:dyDescent="0.2">
      <c r="A60" s="13" t="s">
        <v>46</v>
      </c>
      <c r="B60" s="13" t="s">
        <v>110</v>
      </c>
      <c r="C60" s="13" t="s">
        <v>134</v>
      </c>
      <c r="D60" s="15" t="s">
        <v>125</v>
      </c>
      <c r="E60" s="15" t="s">
        <v>17</v>
      </c>
      <c r="F60" s="15" t="s">
        <v>18</v>
      </c>
      <c r="G60" s="15"/>
      <c r="H60" s="15" t="b">
        <v>0</v>
      </c>
      <c r="I60" s="17" t="s">
        <v>19</v>
      </c>
      <c r="J60" s="15"/>
      <c r="K60" s="15"/>
      <c r="L60" s="15"/>
      <c r="M60" s="15"/>
      <c r="N60" t="str">
        <f t="shared" si="2"/>
        <v>ActivityDocument(ST)-Material(CSOD)Include Subordinates</v>
      </c>
      <c r="O60" t="b">
        <f t="shared" si="1"/>
        <v>0</v>
      </c>
      <c r="P60" t="b">
        <f>VLOOKUP(N60,'[1]Sheet1 (2)'!$L:$M,2,0)</f>
        <v>0</v>
      </c>
    </row>
    <row r="61" spans="1:16" hidden="1" x14ac:dyDescent="0.2">
      <c r="A61" s="13" t="s">
        <v>46</v>
      </c>
      <c r="B61" s="13" t="s">
        <v>110</v>
      </c>
      <c r="C61" s="13" t="s">
        <v>134</v>
      </c>
      <c r="D61" s="15" t="s">
        <v>80</v>
      </c>
      <c r="E61" s="15" t="s">
        <v>17</v>
      </c>
      <c r="F61" s="15" t="s">
        <v>96</v>
      </c>
      <c r="G61" s="15"/>
      <c r="H61" s="15">
        <v>0</v>
      </c>
      <c r="I61" s="15"/>
      <c r="J61" s="15"/>
      <c r="K61" s="15"/>
      <c r="L61" s="15"/>
      <c r="M61" s="15"/>
      <c r="N61" t="str">
        <f t="shared" si="2"/>
        <v>ActivityDocument(ST)-Material(CSOD)Recurrence</v>
      </c>
      <c r="O61">
        <f t="shared" si="1"/>
        <v>0</v>
      </c>
      <c r="P61">
        <f>VLOOKUP(N61,'[1]Sheet1 (2)'!$L:$M,2,0)</f>
        <v>0</v>
      </c>
    </row>
    <row r="62" spans="1:16" ht="48" hidden="1" x14ac:dyDescent="0.2">
      <c r="A62" s="13" t="s">
        <v>46</v>
      </c>
      <c r="B62" s="13" t="s">
        <v>110</v>
      </c>
      <c r="C62" s="13" t="s">
        <v>134</v>
      </c>
      <c r="D62" s="15" t="s">
        <v>126</v>
      </c>
      <c r="E62" s="15" t="s">
        <v>17</v>
      </c>
      <c r="F62" s="15" t="s">
        <v>18</v>
      </c>
      <c r="G62" s="15"/>
      <c r="H62" s="15" t="b">
        <v>0</v>
      </c>
      <c r="I62" s="17" t="s">
        <v>19</v>
      </c>
      <c r="J62" s="15"/>
      <c r="K62" s="15"/>
      <c r="L62" s="15"/>
      <c r="M62" s="15"/>
      <c r="N62" t="str">
        <f t="shared" si="2"/>
        <v>ActivityDocument(ST)-Material(CSOD)Mobile</v>
      </c>
      <c r="O62" t="b">
        <f t="shared" si="1"/>
        <v>0</v>
      </c>
      <c r="P62" t="b">
        <f>VLOOKUP(N62,'[1]Sheet1 (2)'!$L:$M,2,0)</f>
        <v>0</v>
      </c>
    </row>
    <row r="63" spans="1:16" hidden="1" x14ac:dyDescent="0.2">
      <c r="A63" s="13" t="s">
        <v>46</v>
      </c>
      <c r="B63" s="13" t="s">
        <v>110</v>
      </c>
      <c r="C63" s="13" t="s">
        <v>134</v>
      </c>
      <c r="D63" s="15" t="s">
        <v>127</v>
      </c>
      <c r="E63" s="15" t="s">
        <v>17</v>
      </c>
      <c r="F63" s="15" t="s">
        <v>96</v>
      </c>
      <c r="G63" s="15">
        <v>999</v>
      </c>
      <c r="H63" s="15">
        <v>0</v>
      </c>
      <c r="I63" s="15"/>
      <c r="J63" s="15" t="s">
        <v>128</v>
      </c>
      <c r="K63" s="15" t="s">
        <v>129</v>
      </c>
      <c r="L63" s="15"/>
      <c r="M63" s="15"/>
      <c r="N63" t="str">
        <f t="shared" si="2"/>
        <v>ActivityDocument(ST)-Material(CSOD)Credits</v>
      </c>
      <c r="O63">
        <f t="shared" si="1"/>
        <v>0</v>
      </c>
      <c r="P63" t="str">
        <f>VLOOKUP(N63,'[1]Sheet1 (2)'!$L:$M,2,0)</f>
        <v/>
      </c>
    </row>
    <row r="64" spans="1:16" hidden="1" x14ac:dyDescent="0.2">
      <c r="A64" s="13" t="s">
        <v>46</v>
      </c>
      <c r="B64" s="13" t="s">
        <v>110</v>
      </c>
      <c r="C64" s="13" t="s">
        <v>134</v>
      </c>
      <c r="D64" s="15" t="s">
        <v>81</v>
      </c>
      <c r="E64" s="15" t="s">
        <v>17</v>
      </c>
      <c r="F64" s="15" t="s">
        <v>11</v>
      </c>
      <c r="G64" s="15">
        <v>100</v>
      </c>
      <c r="H64" s="15"/>
      <c r="I64" s="15"/>
      <c r="J64" s="15"/>
      <c r="K64" s="15"/>
      <c r="L64" s="15"/>
      <c r="M64" s="15"/>
      <c r="N64" t="str">
        <f t="shared" si="2"/>
        <v>ActivityDocument(ST)-Material(CSOD)Thumbnail</v>
      </c>
      <c r="O64" t="str">
        <f t="shared" si="1"/>
        <v/>
      </c>
      <c r="P64" t="str">
        <f>VLOOKUP(N64,'[1]Sheet1 (2)'!$L:$M,2,0)</f>
        <v/>
      </c>
    </row>
    <row r="65" spans="1:16" ht="48" hidden="1" x14ac:dyDescent="0.2">
      <c r="A65" s="13" t="s">
        <v>46</v>
      </c>
      <c r="B65" s="13" t="s">
        <v>110</v>
      </c>
      <c r="C65" s="13" t="s">
        <v>134</v>
      </c>
      <c r="D65" s="15" t="s">
        <v>83</v>
      </c>
      <c r="E65" s="15" t="s">
        <v>17</v>
      </c>
      <c r="F65" s="15" t="s">
        <v>18</v>
      </c>
      <c r="G65" s="15"/>
      <c r="H65" s="15" t="b">
        <v>0</v>
      </c>
      <c r="I65" s="17" t="s">
        <v>19</v>
      </c>
      <c r="J65" s="15"/>
      <c r="K65" s="15"/>
      <c r="L65" s="15"/>
      <c r="M65" s="15"/>
      <c r="N65" t="str">
        <f t="shared" si="2"/>
        <v>ActivityDocument(ST)-Material(CSOD)Exclude from Course Recommendations</v>
      </c>
      <c r="O65" t="b">
        <f t="shared" si="1"/>
        <v>0</v>
      </c>
      <c r="P65" t="b">
        <f>VLOOKUP(N65,'[1]Sheet1 (2)'!$L:$M,2,0)</f>
        <v>0</v>
      </c>
    </row>
    <row r="66" spans="1:16" hidden="1" x14ac:dyDescent="0.2">
      <c r="A66" s="13" t="s">
        <v>46</v>
      </c>
      <c r="B66" s="13" t="s">
        <v>110</v>
      </c>
      <c r="C66" s="13" t="s">
        <v>134</v>
      </c>
      <c r="D66" s="15" t="s">
        <v>130</v>
      </c>
      <c r="E66" s="15" t="s">
        <v>17</v>
      </c>
      <c r="F66" s="15" t="s">
        <v>11</v>
      </c>
      <c r="G66" s="15"/>
      <c r="H66" s="15"/>
      <c r="I66" s="15"/>
      <c r="J66" s="15"/>
      <c r="K66" s="15"/>
      <c r="L66" s="15"/>
      <c r="M66" s="15"/>
      <c r="N66" t="str">
        <f t="shared" si="2"/>
        <v>ActivityDocument(ST)-Material(CSOD)Training Purpose</v>
      </c>
      <c r="O66" t="str">
        <f t="shared" si="1"/>
        <v/>
      </c>
      <c r="P66" t="str">
        <f>VLOOKUP(N66,'[1]Sheet1 (2)'!$L:$M,2,0)</f>
        <v/>
      </c>
    </row>
    <row r="67" spans="1:16" hidden="1" x14ac:dyDescent="0.2">
      <c r="A67" s="13" t="s">
        <v>46</v>
      </c>
      <c r="B67" s="13" t="s">
        <v>110</v>
      </c>
      <c r="C67" s="13" t="s">
        <v>134</v>
      </c>
      <c r="D67" s="15" t="s">
        <v>131</v>
      </c>
      <c r="E67" s="15" t="s">
        <v>17</v>
      </c>
      <c r="F67" s="15" t="s">
        <v>11</v>
      </c>
      <c r="G67" s="15">
        <v>1000</v>
      </c>
      <c r="H67" s="15"/>
      <c r="I67" s="15"/>
      <c r="J67" s="15"/>
      <c r="K67" s="15"/>
      <c r="L67" s="15"/>
      <c r="M67" s="15"/>
      <c r="N67" t="str">
        <f t="shared" si="2"/>
        <v>ActivityDocument(ST)-Material(CSOD)Points</v>
      </c>
      <c r="O67" t="str">
        <f t="shared" ref="O67:O130" si="3">IF(H67="","",H67)</f>
        <v/>
      </c>
      <c r="P67" t="str">
        <f>VLOOKUP(N67,'[1]Sheet1 (2)'!$L:$M,2,0)</f>
        <v/>
      </c>
    </row>
    <row r="68" spans="1:16" hidden="1" x14ac:dyDescent="0.2">
      <c r="A68" s="13" t="s">
        <v>46</v>
      </c>
      <c r="B68" s="13" t="s">
        <v>110</v>
      </c>
      <c r="C68" s="13" t="s">
        <v>134</v>
      </c>
      <c r="D68" s="15" t="s">
        <v>132</v>
      </c>
      <c r="E68" s="15" t="s">
        <v>17</v>
      </c>
      <c r="F68" s="15" t="s">
        <v>11</v>
      </c>
      <c r="G68" s="15"/>
      <c r="H68" s="15"/>
      <c r="I68" s="15"/>
      <c r="J68" s="15"/>
      <c r="K68" s="15"/>
      <c r="L68" s="15"/>
      <c r="M68" s="15"/>
      <c r="N68" t="str">
        <f t="shared" si="2"/>
        <v>ActivityDocument(ST)-Material(CSOD)Badge</v>
      </c>
      <c r="O68" t="str">
        <f t="shared" si="3"/>
        <v/>
      </c>
      <c r="P68" t="str">
        <f>VLOOKUP(N68,'[1]Sheet1 (2)'!$L:$M,2,0)</f>
        <v/>
      </c>
    </row>
    <row r="69" spans="1:16" ht="32" hidden="1" x14ac:dyDescent="0.2">
      <c r="A69" s="13" t="s">
        <v>46</v>
      </c>
      <c r="B69" s="13" t="s">
        <v>110</v>
      </c>
      <c r="C69" s="13" t="s">
        <v>134</v>
      </c>
      <c r="D69" s="15" t="s">
        <v>84</v>
      </c>
      <c r="E69" s="15" t="s">
        <v>17</v>
      </c>
      <c r="F69" s="15" t="s">
        <v>85</v>
      </c>
      <c r="G69" s="15"/>
      <c r="H69" s="22" t="s">
        <v>86</v>
      </c>
      <c r="I69" s="17" t="s">
        <v>133</v>
      </c>
      <c r="J69" s="15"/>
      <c r="K69" s="15"/>
      <c r="L69" s="15"/>
      <c r="M69" s="15"/>
      <c r="N69" t="str">
        <f t="shared" si="2"/>
        <v>ActivityDocument(ST)-Material(CSOD)Emails</v>
      </c>
      <c r="O69" t="str">
        <f t="shared" si="3"/>
        <v>No Email</v>
      </c>
      <c r="P69" t="str">
        <f>VLOOKUP(N69,'[1]Sheet1 (2)'!$L:$M,2,0)</f>
        <v>No Email</v>
      </c>
    </row>
    <row r="70" spans="1:16" hidden="1" x14ac:dyDescent="0.2">
      <c r="A70" s="13" t="s">
        <v>46</v>
      </c>
      <c r="B70" s="13" t="s">
        <v>200</v>
      </c>
      <c r="C70" s="13" t="s">
        <v>199</v>
      </c>
      <c r="D70" s="15" t="s">
        <v>135</v>
      </c>
      <c r="E70" s="15" t="s">
        <v>10</v>
      </c>
      <c r="F70" s="15" t="s">
        <v>11</v>
      </c>
      <c r="G70" s="15">
        <v>100</v>
      </c>
      <c r="H70" s="15"/>
      <c r="I70" s="15"/>
      <c r="J70" s="15" t="s">
        <v>136</v>
      </c>
      <c r="K70" s="15" t="s">
        <v>13</v>
      </c>
      <c r="L70" s="15">
        <v>255</v>
      </c>
      <c r="M70" s="15"/>
      <c r="N70" t="str">
        <f t="shared" si="2"/>
        <v>ActivityILTClass(ST)-Sessions(CSOD)Event ID</v>
      </c>
      <c r="O70" t="str">
        <f t="shared" si="3"/>
        <v/>
      </c>
      <c r="P70" t="str">
        <f>VLOOKUP(N70,'[1]Sheet1 (2)'!$L:$M,2,0)</f>
        <v/>
      </c>
    </row>
    <row r="71" spans="1:16" hidden="1" x14ac:dyDescent="0.2">
      <c r="A71" s="13" t="s">
        <v>46</v>
      </c>
      <c r="B71" s="13" t="s">
        <v>200</v>
      </c>
      <c r="C71" s="13" t="s">
        <v>199</v>
      </c>
      <c r="D71" s="15" t="s">
        <v>137</v>
      </c>
      <c r="E71" s="15" t="s">
        <v>10</v>
      </c>
      <c r="F71" s="15" t="s">
        <v>11</v>
      </c>
      <c r="G71" s="15">
        <v>100</v>
      </c>
      <c r="H71" s="15"/>
      <c r="I71" s="15"/>
      <c r="J71" s="15" t="s">
        <v>138</v>
      </c>
      <c r="K71" s="15" t="s">
        <v>13</v>
      </c>
      <c r="L71" s="15">
        <v>255</v>
      </c>
      <c r="M71" s="15"/>
      <c r="N71" t="str">
        <f t="shared" ref="N71:N134" si="4">_xlfn.CONCAT(A71,C71,D71)</f>
        <v>ActivityILTClass(ST)-Sessions(CSOD)Session ID*</v>
      </c>
      <c r="O71" t="str">
        <f t="shared" si="3"/>
        <v/>
      </c>
      <c r="P71" t="str">
        <f>VLOOKUP(N71,'[1]Sheet1 (2)'!$L:$M,2,0)</f>
        <v/>
      </c>
    </row>
    <row r="72" spans="1:16" hidden="1" x14ac:dyDescent="0.2">
      <c r="A72" s="13" t="s">
        <v>46</v>
      </c>
      <c r="B72" s="13" t="s">
        <v>200</v>
      </c>
      <c r="C72" s="13" t="s">
        <v>199</v>
      </c>
      <c r="D72" s="15" t="s">
        <v>139</v>
      </c>
      <c r="E72" s="15" t="s">
        <v>10</v>
      </c>
      <c r="F72" s="15" t="s">
        <v>140</v>
      </c>
      <c r="G72" s="15"/>
      <c r="H72" s="15"/>
      <c r="I72" s="15"/>
      <c r="J72" s="15" t="s">
        <v>141</v>
      </c>
      <c r="K72" s="15" t="s">
        <v>140</v>
      </c>
      <c r="L72" s="15"/>
      <c r="M72" s="15"/>
      <c r="N72" t="str">
        <f t="shared" si="4"/>
        <v>ActivityILTClass(ST)-Sessions(CSOD)Part Start Date/Time</v>
      </c>
      <c r="O72" t="str">
        <f t="shared" si="3"/>
        <v/>
      </c>
      <c r="P72" t="str">
        <f>VLOOKUP(N72,'[1]Sheet1 (2)'!$L:$M,2,0)</f>
        <v/>
      </c>
    </row>
    <row r="73" spans="1:16" hidden="1" x14ac:dyDescent="0.2">
      <c r="A73" s="13" t="s">
        <v>46</v>
      </c>
      <c r="B73" s="13" t="s">
        <v>200</v>
      </c>
      <c r="C73" s="13" t="s">
        <v>199</v>
      </c>
      <c r="D73" s="15" t="s">
        <v>142</v>
      </c>
      <c r="E73" s="15" t="s">
        <v>10</v>
      </c>
      <c r="F73" s="15" t="s">
        <v>140</v>
      </c>
      <c r="G73" s="15"/>
      <c r="H73" s="15"/>
      <c r="I73" s="15"/>
      <c r="J73" s="15" t="s">
        <v>143</v>
      </c>
      <c r="K73" s="15" t="s">
        <v>140</v>
      </c>
      <c r="L73" s="15"/>
      <c r="M73" s="15"/>
      <c r="N73" t="str">
        <f t="shared" si="4"/>
        <v>ActivityILTClass(ST)-Sessions(CSOD)Part End Date/Time</v>
      </c>
      <c r="O73" t="str">
        <f t="shared" si="3"/>
        <v/>
      </c>
      <c r="P73" t="str">
        <f>VLOOKUP(N73,'[1]Sheet1 (2)'!$L:$M,2,0)</f>
        <v/>
      </c>
    </row>
    <row r="74" spans="1:16" hidden="1" x14ac:dyDescent="0.2">
      <c r="A74" s="13" t="s">
        <v>46</v>
      </c>
      <c r="B74" s="13" t="s">
        <v>200</v>
      </c>
      <c r="C74" s="13" t="s">
        <v>199</v>
      </c>
      <c r="D74" s="15" t="s">
        <v>144</v>
      </c>
      <c r="E74" s="15" t="s">
        <v>17</v>
      </c>
      <c r="F74" s="15" t="s">
        <v>96</v>
      </c>
      <c r="G74" s="15"/>
      <c r="H74" s="15">
        <v>1</v>
      </c>
      <c r="I74" s="15"/>
      <c r="J74" s="15"/>
      <c r="K74" s="15"/>
      <c r="L74" s="15"/>
      <c r="M74" s="15"/>
      <c r="N74" t="str">
        <f t="shared" si="4"/>
        <v>ActivityILTClass(ST)-Sessions(CSOD)Part Break Duration</v>
      </c>
      <c r="O74">
        <f t="shared" si="3"/>
        <v>1</v>
      </c>
      <c r="P74">
        <f>VLOOKUP(N74,'[1]Sheet1 (2)'!$L:$M,2,0)</f>
        <v>1</v>
      </c>
    </row>
    <row r="75" spans="1:16" ht="409.5" hidden="1" x14ac:dyDescent="0.2">
      <c r="A75" s="13" t="s">
        <v>46</v>
      </c>
      <c r="B75" s="13" t="s">
        <v>200</v>
      </c>
      <c r="C75" s="13" t="s">
        <v>199</v>
      </c>
      <c r="D75" s="15" t="s">
        <v>145</v>
      </c>
      <c r="E75" s="15" t="s">
        <v>17</v>
      </c>
      <c r="F75" s="15" t="s">
        <v>11</v>
      </c>
      <c r="G75" s="15"/>
      <c r="H75" s="25" t="s">
        <v>300</v>
      </c>
      <c r="I75" s="15"/>
      <c r="J75" s="15" t="s">
        <v>146</v>
      </c>
      <c r="K75" s="15" t="s">
        <v>13</v>
      </c>
      <c r="L75" s="15"/>
      <c r="M75" s="15"/>
      <c r="N75" t="str">
        <f t="shared" si="4"/>
        <v>ActivityILTClass(ST)-Sessions(CSOD)Part Timezone</v>
      </c>
      <c r="O75" t="str">
        <f t="shared" si="3"/>
        <v>IF Timezone == "MIT" THEN TimeZoneID = 1
ELSE IF Timezone == "MIT" THEN TimeZoneID = 2
ELSE IF Timezone == "HST" THEN TimeZoneID = 3
ELSE IF Timezone == "AKST" THEN TimeZoneID = 4
ELSE IF Timezone == "PST" THEN TimeZoneID = 5
ELSE IF Timezone == "PNT" THEN TimeZoneID = 6
ELSE IF Timezone == "MST" THEN TimeZoneID = 8
ELSE IF Timezone == "CST" THEN TimeZoneID = 9
ELSE IF Timezone == "CST" THEN TimeZoneID = 10
ELSE IF Timezone == "CST" THEN TimeZoneID = 12
ELSE IF Timezone == "COT" THEN TimeZoneID = 13
ELSE IF Timezone == "EST" THEN TimeZoneID = 14
ELSE IF Timezone == "IET" THEN TimeZoneID = 15
ELSE IF Timezone == "AST" THEN TimeZoneID = 16
ELSE IF Timezone == "PRT" THEN TimeZoneID = 17
ELSE IF Timezone == "PRT" THEN TimeZoneID = 18
ELSE IF Timezone == "CNT" THEN TimeZoneID = 19
ELSE IF Timezone == "BRT-BRST" THEN TimeZoneID = 20
ELSE IF Timezone == "AGT" THEN TimeZoneID = 21
ELSE IF Timezone == "AGT" THEN TimeZoneID = 22
ELSE IF Timezone == "AGT" THEN TimeZoneID = 23
ELSE IF Timezone == "AZOT" THEN TimeZoneID = 24
ELSE IF Timezone == "CVT" THEN TimeZoneID = 25
ELSE IF Timezone == "GMT" THEN TimeZoneID = 26
ELSE IF Timezone == "GMT" THEN TimeZoneID = 27
ELSE IF Timezone == "CET" THEN TimeZoneID = 28
ELSE IF Timezone == "CET" THEN TimeZoneID = 29
ELSE IF Timezone == "CET" THEN TimeZoneID = 30
ELSE IF Timezone == "CET" THEN TimeZoneID = 31
ELSE IF Timezone == "CET" THEN TimeZoneID = 32
ELSE IF Timezone == "EET" THEN TimeZoneID = 33
ELSE IF Timezone == "EET" THEN TimeZoneID = 34
ELSE IF Timezone == "EET" THEN TimeZoneID = 35
ELSE IF Timezone == "SAST" THEN TimeZoneID = 36
ELSE IF Timezone == "EET" THEN TimeZoneID = 37
ELSE IF Timezone == "IsraelST" THEN TimeZoneID = 38
ELSE IF Timezone == "EAT" THEN TimeZoneID = 39
ELSE IF Timezone == "EAT" THEN TimeZoneID = 40
ELSE IF Timezone == "MSK" THEN TimeZoneID = 41
ELSE IF Timezone == "EAT" THEN TimeZoneID = 42
ELSE IF Timezone == "MET" THEN TimeZoneID = 43
ELSE IF Timezone == "GST" THEN TimeZoneID = 44
ELSE IF Timezone == "NET" THEN TimeZoneID = 45
ELSE IF Timezone == "NET" THEN TimeZoneID = 46
ELSE IF Timezone == "YEKT" THEN TimeZoneID = 47
ELSE IF Timezone == "WAST" THEN TimeZoneID = 48
ELSE IF Timezone == "IST" THEN TimeZoneID = 49
ELSE IF Timezone == "NPT" THEN TimeZoneID = 50
ELSE IF Timezone == "NOVT" THEN TimeZoneID = 51
ELSE IF Timezone == "ALMT" THEN TimeZoneID = 52
ELSE IF Timezone == "IST" THEN TimeZoneID = 53
ELSE IF Timezone == "MMT" THEN TimeZoneID = 54
ELSE IF Timezone == "UTC+7" THEN TimeZoneID = 55
ELSE IF Timezone == "KRAT" THEN TimeZoneID = 56
ELSE IF Timezone == "CTT" THEN TimeZoneID = 57
ELSE IF Timezone == "IRKT" THEN TimeZoneID = 58
ELSE IF Timezone == "MYT" THEN TimeZoneID = 59
ELSE IF Timezone == "AWST" THEN TimeZoneID = 60
ELSE IF Timezone == "CST" THEN TimeZoneID = 61
ELSE IF Timezone == "JST" THEN TimeZoneID = 62
ELSE IF Timezone == "KST" THEN TimeZoneID = 63
ELSE IF Timezone == "YAKT" THEN TimeZoneID = 64
ELSE IF Timezone == "ACST" THEN TimeZoneID = 65
ELSE IF Timezone == "ACT" THEN TimeZoneID = 66
ELSE IF Timezone == "AEST" THEN TimeZoneID = 67
ELSE IF Timezone == "AET" THEN TimeZoneID = 68
ELSE IF Timezone == "ChST" THEN TimeZoneID = 69
ELSE IF Timezone == "AET" THEN TimeZoneID = 70
ELSE IF Timezone == "AET" THEN TimeZoneID = 71
ELSE IF Timezone == "SST" THEN TimeZoneID = 72
ELSE IF Timezone == "NZST" THEN TimeZoneID = 73
ELSE IF Timezone == "NST" THEN TimeZoneID = 74
ELSE IF Timezone == "NST" THEN TimeZoneID = 75
ELSE IF Timezone == "UTC-11" THEN TimeZoneID = 76
ELSE IF Timezone == "PST" THEN TimeZoneID = 77
ELSE IF Timezone == "MST" THEN TimeZoneID = 78
ELSE IF Timezone == "CDT" THEN TimeZoneID = 79
ELSE IF Timezone == "VET" THEN TimeZoneID = 80
ELSE IF Timezone == "PYT" THEN TimeZoneID = 81
ELSE IF Timezone == "AMT" THEN TimeZoneID = 82
ELSE IF Timezone == "ART" THEN TimeZoneID = 83
ELSE IF Timezone == "UYT" THEN TimeZoneID = 84
ELSE IF Timezone == "UTC-02" THEN TimeZoneID = 85
ELSE IF Timezone == "WET" THEN TimeZoneID = 86
ELSE IF Timezone == "UTC" THEN TimeZoneID = 87
ELSE IF Timezone == "AST" THEN TimeZoneID = 88
ELSE IF Timezone == "EEST" THEN TimeZoneID = 89
ELSE IF Timezone == "EEST" THEN TimeZoneID = 90
ELSE IF Timezone == "WAT" THEN TimeZoneID = 92
ELSE IF Timezone == "AZT" THEN TimeZoneID = 93
ELSE IF Timezone == "MUT" THEN TimeZoneID = 94
ELSE IF Timezone == "GET" THEN TimeZoneID = 95
ELSE IF Timezone == "PKT" THEN TimeZoneID = 97
ELSE IF Timezone == "BST" THEN TimeZoneID = 98
ELSE IF Timezone == "ULAT" THEN TimeZoneID = 100
ELSE IF Timezone == "UTC+12" THEN TimeZoneID = 101
ELSE IF Timezone == "PETT" THEN TimeZoneID = 102
ELSE IF Timezone == "BRT" THEN TimeZoneID = 103
ELSE IF Timezone == "EEST" THEN TimeZoneID = 104
ELSE IF Timezone == "EET" THEN TimeZoneID = 105
ELSE IF Timezone == "VLAT" THEN TimeZoneID = 106
ELSE IF Timezone == "SAMT" THEN TimeZoneID = 107
ELSE IF Timezone == "SRET" THEN TimeZoneID = 108
ELSE IF Timezone == "AST" THEN TimeZoneID = 109
ELSE IF Timezone == "WAT" THEN TimeZoneID = 110
ELSE IF Timezone == "GMT" THEN TimeZoneID = 111
ELSE IF Timezone == "SST" THEN TimeZoneID = 112
ELSE IF Timezone == "OMST" THEN TimeZoneID = 113
ELSE TimeZoneID = 9</v>
      </c>
      <c r="P75" t="str">
        <f>VLOOKUP(N75,'[1]Sheet1 (2)'!$L:$M,2,0)</f>
        <v/>
      </c>
    </row>
    <row r="76" spans="1:16" ht="48" hidden="1" x14ac:dyDescent="0.2">
      <c r="A76" s="13" t="s">
        <v>46</v>
      </c>
      <c r="B76" s="13" t="s">
        <v>200</v>
      </c>
      <c r="C76" s="13" t="s">
        <v>199</v>
      </c>
      <c r="D76" s="15" t="s">
        <v>147</v>
      </c>
      <c r="E76" s="15" t="s">
        <v>17</v>
      </c>
      <c r="F76" s="15" t="s">
        <v>18</v>
      </c>
      <c r="G76" s="15"/>
      <c r="H76" s="15">
        <v>1</v>
      </c>
      <c r="I76" s="17" t="s">
        <v>19</v>
      </c>
      <c r="J76" s="15"/>
      <c r="K76" s="15"/>
      <c r="L76" s="15"/>
      <c r="M76" s="15"/>
      <c r="N76" t="str">
        <f t="shared" si="4"/>
        <v>ActivityILTClass(ST)-Sessions(CSOD)Display Times in TimeZone of User</v>
      </c>
      <c r="O76">
        <f t="shared" si="3"/>
        <v>1</v>
      </c>
      <c r="P76" t="str">
        <f>VLOOKUP(N76,'[1]Sheet1 (2)'!$L:$M,2,0)</f>
        <v/>
      </c>
    </row>
    <row r="77" spans="1:16" hidden="1" x14ac:dyDescent="0.2">
      <c r="A77" s="13" t="s">
        <v>46</v>
      </c>
      <c r="B77" s="13" t="s">
        <v>200</v>
      </c>
      <c r="C77" s="13" t="s">
        <v>199</v>
      </c>
      <c r="D77" s="15" t="s">
        <v>148</v>
      </c>
      <c r="E77" s="15" t="s">
        <v>10</v>
      </c>
      <c r="F77" s="15" t="s">
        <v>11</v>
      </c>
      <c r="G77" s="15">
        <v>500</v>
      </c>
      <c r="H77" s="15"/>
      <c r="I77" s="15"/>
      <c r="J77" s="15" t="s">
        <v>149</v>
      </c>
      <c r="K77" s="15" t="s">
        <v>13</v>
      </c>
      <c r="L77" s="15">
        <v>300</v>
      </c>
      <c r="M77" s="15"/>
      <c r="N77" t="str">
        <f t="shared" si="4"/>
        <v>ActivityILTClass(ST)-Sessions(CSOD)Part name</v>
      </c>
      <c r="O77" t="str">
        <f t="shared" si="3"/>
        <v/>
      </c>
      <c r="P77" t="str">
        <f>VLOOKUP(N77,'[1]Sheet1 (2)'!$L:$M,2,0)</f>
        <v/>
      </c>
    </row>
    <row r="78" spans="1:16" hidden="1" x14ac:dyDescent="0.2">
      <c r="A78" s="13" t="s">
        <v>46</v>
      </c>
      <c r="B78" s="13" t="s">
        <v>200</v>
      </c>
      <c r="C78" s="13" t="s">
        <v>199</v>
      </c>
      <c r="D78" s="15" t="s">
        <v>150</v>
      </c>
      <c r="E78" s="15" t="s">
        <v>10</v>
      </c>
      <c r="F78" s="15" t="s">
        <v>11</v>
      </c>
      <c r="G78" s="15">
        <v>100</v>
      </c>
      <c r="H78" s="15" t="s">
        <v>151</v>
      </c>
      <c r="I78" s="15"/>
      <c r="J78" s="15" t="s">
        <v>152</v>
      </c>
      <c r="K78" s="15" t="s">
        <v>13</v>
      </c>
      <c r="L78" s="15">
        <v>255</v>
      </c>
      <c r="M78" s="15"/>
      <c r="N78" t="str">
        <f t="shared" si="4"/>
        <v>ActivityILTClass(ST)-Sessions(CSOD)Part Location</v>
      </c>
      <c r="O78" t="str">
        <f t="shared" si="3"/>
        <v>Bldg_1_Room_102</v>
      </c>
      <c r="P78" t="str">
        <f>VLOOKUP(N78,'[1]Sheet1 (2)'!$L:$M,2,0)</f>
        <v/>
      </c>
    </row>
    <row r="79" spans="1:16" hidden="1" x14ac:dyDescent="0.2">
      <c r="A79" s="13" t="s">
        <v>46</v>
      </c>
      <c r="B79" s="13" t="s">
        <v>200</v>
      </c>
      <c r="C79" s="13" t="s">
        <v>199</v>
      </c>
      <c r="D79" s="15" t="s">
        <v>153</v>
      </c>
      <c r="E79" s="15" t="s">
        <v>10</v>
      </c>
      <c r="F79" s="15" t="s">
        <v>11</v>
      </c>
      <c r="G79" s="15">
        <v>128</v>
      </c>
      <c r="H79" s="15" t="s">
        <v>68</v>
      </c>
      <c r="I79" s="15"/>
      <c r="J79" s="15" t="s">
        <v>154</v>
      </c>
      <c r="K79" s="15" t="s">
        <v>64</v>
      </c>
      <c r="L79" s="15">
        <v>50</v>
      </c>
      <c r="M79" s="15"/>
      <c r="N79" t="str">
        <f t="shared" si="4"/>
        <v>ActivityILTClass(ST)-Sessions(CSOD)Part Instructor</v>
      </c>
      <c r="O79" t="str">
        <f t="shared" si="3"/>
        <v>TRN1000194</v>
      </c>
      <c r="P79" t="str">
        <f>VLOOKUP(N79,'[1]Sheet1 (2)'!$L:$M,2,0)</f>
        <v/>
      </c>
    </row>
    <row r="80" spans="1:16" ht="32" hidden="1" x14ac:dyDescent="0.2">
      <c r="A80" s="13" t="s">
        <v>46</v>
      </c>
      <c r="B80" s="13" t="s">
        <v>200</v>
      </c>
      <c r="C80" s="13" t="s">
        <v>199</v>
      </c>
      <c r="D80" s="15" t="s">
        <v>155</v>
      </c>
      <c r="E80" s="15" t="s">
        <v>17</v>
      </c>
      <c r="F80" s="15" t="s">
        <v>11</v>
      </c>
      <c r="G80" s="15"/>
      <c r="H80" s="15" t="s">
        <v>156</v>
      </c>
      <c r="I80" s="17" t="s">
        <v>157</v>
      </c>
      <c r="J80" s="15"/>
      <c r="K80" s="15"/>
      <c r="L80" s="15"/>
      <c r="M80" s="15"/>
      <c r="N80" t="str">
        <f t="shared" si="4"/>
        <v>ActivityILTClass(ST)-Sessions(CSOD)Session Status</v>
      </c>
      <c r="O80" t="str">
        <f t="shared" si="3"/>
        <v>Approved</v>
      </c>
      <c r="P80" t="str">
        <f>VLOOKUP(N80,'[1]Sheet1 (2)'!$L:$M,2,0)</f>
        <v/>
      </c>
    </row>
    <row r="81" spans="1:16" hidden="1" x14ac:dyDescent="0.2">
      <c r="A81" s="13" t="s">
        <v>46</v>
      </c>
      <c r="B81" s="13" t="s">
        <v>200</v>
      </c>
      <c r="C81" s="13" t="s">
        <v>199</v>
      </c>
      <c r="D81" s="15" t="s">
        <v>158</v>
      </c>
      <c r="E81" s="15" t="s">
        <v>17</v>
      </c>
      <c r="F81" s="15" t="s">
        <v>11</v>
      </c>
      <c r="G81" s="15"/>
      <c r="H81" s="15"/>
      <c r="I81" s="15"/>
      <c r="J81" s="15"/>
      <c r="K81" s="15"/>
      <c r="L81" s="15"/>
      <c r="M81" s="15"/>
      <c r="N81" t="str">
        <f t="shared" si="4"/>
        <v>ActivityILTClass(ST)-Sessions(CSOD)Cancellation Reason</v>
      </c>
      <c r="O81" t="str">
        <f t="shared" si="3"/>
        <v/>
      </c>
      <c r="P81" t="str">
        <f>VLOOKUP(N81,'[1]Sheet1 (2)'!$L:$M,2,0)</f>
        <v/>
      </c>
    </row>
    <row r="82" spans="1:16" hidden="1" x14ac:dyDescent="0.2">
      <c r="A82" s="13" t="s">
        <v>46</v>
      </c>
      <c r="B82" s="13" t="s">
        <v>200</v>
      </c>
      <c r="C82" s="13" t="s">
        <v>199</v>
      </c>
      <c r="D82" s="15" t="s">
        <v>159</v>
      </c>
      <c r="E82" s="15" t="s">
        <v>17</v>
      </c>
      <c r="F82" s="15" t="s">
        <v>11</v>
      </c>
      <c r="G82" s="15"/>
      <c r="H82" s="15"/>
      <c r="I82" s="15"/>
      <c r="J82" s="15"/>
      <c r="K82" s="15"/>
      <c r="L82" s="15"/>
      <c r="M82" s="15"/>
      <c r="N82" t="str">
        <f t="shared" si="4"/>
        <v>ActivityILTClass(ST)-Sessions(CSOD)Cancellation Comment</v>
      </c>
      <c r="O82" t="str">
        <f t="shared" si="3"/>
        <v/>
      </c>
      <c r="P82" t="str">
        <f>VLOOKUP(N82,'[1]Sheet1 (2)'!$L:$M,2,0)</f>
        <v/>
      </c>
    </row>
    <row r="83" spans="1:16" hidden="1" x14ac:dyDescent="0.2">
      <c r="A83" s="13" t="s">
        <v>46</v>
      </c>
      <c r="B83" s="13" t="s">
        <v>200</v>
      </c>
      <c r="C83" s="13" t="s">
        <v>199</v>
      </c>
      <c r="D83" s="15" t="s">
        <v>71</v>
      </c>
      <c r="E83" s="15" t="s">
        <v>17</v>
      </c>
      <c r="F83" s="15" t="s">
        <v>11</v>
      </c>
      <c r="G83" s="15"/>
      <c r="H83" s="15"/>
      <c r="I83" s="15"/>
      <c r="J83" s="15"/>
      <c r="K83" s="15"/>
      <c r="L83" s="15"/>
      <c r="M83" s="15"/>
      <c r="N83" t="str">
        <f t="shared" si="4"/>
        <v>ActivityILTClass(ST)-Sessions(CSOD)Available Languages</v>
      </c>
      <c r="O83" t="str">
        <f t="shared" si="3"/>
        <v/>
      </c>
      <c r="P83" t="str">
        <f>VLOOKUP(N83,'[1]Sheet1 (2)'!$L:$M,2,0)</f>
        <v/>
      </c>
    </row>
    <row r="84" spans="1:16" hidden="1" x14ac:dyDescent="0.2">
      <c r="A84" s="13" t="s">
        <v>46</v>
      </c>
      <c r="B84" s="13" t="s">
        <v>200</v>
      </c>
      <c r="C84" s="13" t="s">
        <v>199</v>
      </c>
      <c r="D84" s="15" t="s">
        <v>160</v>
      </c>
      <c r="E84" s="15" t="s">
        <v>17</v>
      </c>
      <c r="F84" s="15" t="s">
        <v>11</v>
      </c>
      <c r="G84" s="15">
        <v>100</v>
      </c>
      <c r="H84" s="15" t="s">
        <v>161</v>
      </c>
      <c r="I84" s="15"/>
      <c r="J84" s="15" t="s">
        <v>57</v>
      </c>
      <c r="K84" s="15" t="s">
        <v>13</v>
      </c>
      <c r="L84" s="15">
        <v>50</v>
      </c>
      <c r="M84" s="15"/>
      <c r="N84" t="str">
        <f t="shared" si="4"/>
        <v>ActivityILTClass(ST)-Sessions(CSOD)Vendor/Provider</v>
      </c>
      <c r="O84" t="str">
        <f t="shared" si="3"/>
        <v>ILT Content</v>
      </c>
      <c r="P84" t="str">
        <f>VLOOKUP(N84,'[1]Sheet1 (2)'!$L:$M,2,0)</f>
        <v/>
      </c>
    </row>
    <row r="85" spans="1:16" hidden="1" x14ac:dyDescent="0.2">
      <c r="A85" s="13" t="s">
        <v>46</v>
      </c>
      <c r="B85" s="13" t="s">
        <v>200</v>
      </c>
      <c r="C85" s="13" t="s">
        <v>199</v>
      </c>
      <c r="D85" s="15" t="s">
        <v>162</v>
      </c>
      <c r="E85" s="15" t="s">
        <v>17</v>
      </c>
      <c r="F85" s="15" t="s">
        <v>96</v>
      </c>
      <c r="G85" s="15">
        <v>26000</v>
      </c>
      <c r="H85" s="15">
        <v>0</v>
      </c>
      <c r="I85" s="15"/>
      <c r="J85" s="15"/>
      <c r="K85" s="15"/>
      <c r="L85" s="15"/>
      <c r="M85" s="15"/>
      <c r="N85" t="str">
        <f t="shared" si="4"/>
        <v>ActivityILTClass(ST)-Sessions(CSOD)Registration Deadline</v>
      </c>
      <c r="O85">
        <f t="shared" si="3"/>
        <v>0</v>
      </c>
      <c r="P85">
        <f>VLOOKUP(N85,'[1]Sheet1 (2)'!$L:$M,2,0)</f>
        <v>0</v>
      </c>
    </row>
    <row r="86" spans="1:16" hidden="1" x14ac:dyDescent="0.2">
      <c r="A86" s="13" t="s">
        <v>46</v>
      </c>
      <c r="B86" s="13" t="s">
        <v>200</v>
      </c>
      <c r="C86" s="13" t="s">
        <v>199</v>
      </c>
      <c r="D86" s="15" t="s">
        <v>163</v>
      </c>
      <c r="E86" s="15" t="s">
        <v>17</v>
      </c>
      <c r="F86" s="15" t="s">
        <v>11</v>
      </c>
      <c r="G86" s="15"/>
      <c r="H86" s="15"/>
      <c r="I86" s="17" t="s">
        <v>164</v>
      </c>
      <c r="J86" s="15"/>
      <c r="K86" s="15"/>
      <c r="L86" s="15"/>
      <c r="M86" s="15"/>
      <c r="N86" t="str">
        <f t="shared" si="4"/>
        <v>ActivityILTClass(ST)-Sessions(CSOD)Registration Deadline - Before/After</v>
      </c>
      <c r="O86" t="str">
        <f t="shared" si="3"/>
        <v/>
      </c>
      <c r="P86" t="str">
        <f>VLOOKUP(N86,'[1]Sheet1 (2)'!$L:$M,2,0)</f>
        <v/>
      </c>
    </row>
    <row r="87" spans="1:16" ht="48" hidden="1" x14ac:dyDescent="0.2">
      <c r="A87" s="13" t="s">
        <v>46</v>
      </c>
      <c r="B87" s="13" t="s">
        <v>200</v>
      </c>
      <c r="C87" s="13" t="s">
        <v>199</v>
      </c>
      <c r="D87" s="15" t="s">
        <v>165</v>
      </c>
      <c r="E87" s="15" t="s">
        <v>17</v>
      </c>
      <c r="F87" s="15" t="s">
        <v>18</v>
      </c>
      <c r="G87" s="15"/>
      <c r="H87" s="15"/>
      <c r="I87" s="17" t="s">
        <v>19</v>
      </c>
      <c r="J87" s="15" t="s">
        <v>166</v>
      </c>
      <c r="K87" s="15" t="s">
        <v>18</v>
      </c>
      <c r="L87" s="15"/>
      <c r="M87" s="15" t="s">
        <v>26</v>
      </c>
      <c r="N87" t="str">
        <f t="shared" si="4"/>
        <v>ActivityILTClass(ST)-Sessions(CSOD)Allow waitlist for sessions</v>
      </c>
      <c r="O87" t="str">
        <f t="shared" si="3"/>
        <v/>
      </c>
      <c r="P87" t="str">
        <f>VLOOKUP(N87,'[1]Sheet1 (2)'!$L:$M,2,0)</f>
        <v/>
      </c>
    </row>
    <row r="88" spans="1:16" ht="32" hidden="1" x14ac:dyDescent="0.2">
      <c r="A88" s="13" t="s">
        <v>46</v>
      </c>
      <c r="B88" s="13" t="s">
        <v>200</v>
      </c>
      <c r="C88" s="13" t="s">
        <v>199</v>
      </c>
      <c r="D88" s="15" t="s">
        <v>167</v>
      </c>
      <c r="E88" s="15" t="s">
        <v>17</v>
      </c>
      <c r="F88" s="15" t="s">
        <v>11</v>
      </c>
      <c r="G88" s="15"/>
      <c r="H88" s="15"/>
      <c r="I88" s="17" t="s">
        <v>168</v>
      </c>
      <c r="J88" s="15"/>
      <c r="K88" s="15"/>
      <c r="L88" s="15"/>
      <c r="M88" s="15"/>
      <c r="N88" t="str">
        <f t="shared" si="4"/>
        <v>ActivityILTClass(ST)-Sessions(CSOD)Allow Auto-Management of Waitlist‡</v>
      </c>
      <c r="O88" t="str">
        <f t="shared" si="3"/>
        <v/>
      </c>
      <c r="P88" t="str">
        <f>VLOOKUP(N88,'[1]Sheet1 (2)'!$L:$M,2,0)</f>
        <v/>
      </c>
    </row>
    <row r="89" spans="1:16" ht="48" hidden="1" x14ac:dyDescent="0.2">
      <c r="A89" s="13" t="s">
        <v>46</v>
      </c>
      <c r="B89" s="13" t="s">
        <v>200</v>
      </c>
      <c r="C89" s="13" t="s">
        <v>199</v>
      </c>
      <c r="D89" s="15" t="s">
        <v>169</v>
      </c>
      <c r="E89" s="15" t="s">
        <v>17</v>
      </c>
      <c r="F89" s="15" t="s">
        <v>18</v>
      </c>
      <c r="G89" s="15"/>
      <c r="H89" s="15"/>
      <c r="I89" s="17" t="s">
        <v>19</v>
      </c>
      <c r="J89" s="15"/>
      <c r="K89" s="15"/>
      <c r="L89" s="15"/>
      <c r="M89" s="15"/>
      <c r="N89" t="str">
        <f t="shared" si="4"/>
        <v>ActivityILTClass(ST)-Sessions(CSOD)Auto-Register User upon Granting Waitlist‡</v>
      </c>
      <c r="O89" t="str">
        <f t="shared" si="3"/>
        <v/>
      </c>
      <c r="P89" t="str">
        <f>VLOOKUP(N89,'[1]Sheet1 (2)'!$L:$M,2,0)</f>
        <v/>
      </c>
    </row>
    <row r="90" spans="1:16" hidden="1" x14ac:dyDescent="0.2">
      <c r="A90" s="13" t="s">
        <v>46</v>
      </c>
      <c r="B90" s="13" t="s">
        <v>200</v>
      </c>
      <c r="C90" s="13" t="s">
        <v>199</v>
      </c>
      <c r="D90" s="15" t="s">
        <v>170</v>
      </c>
      <c r="E90" s="15" t="s">
        <v>17</v>
      </c>
      <c r="F90" s="15" t="s">
        <v>96</v>
      </c>
      <c r="G90" s="15">
        <v>9999</v>
      </c>
      <c r="H90" s="15"/>
      <c r="I90" s="15"/>
      <c r="J90" s="15" t="s">
        <v>171</v>
      </c>
      <c r="K90" s="15" t="s">
        <v>172</v>
      </c>
      <c r="L90" s="15"/>
      <c r="M90" s="15"/>
      <c r="N90" t="str">
        <f t="shared" si="4"/>
        <v>ActivityILTClass(ST)-Sessions(CSOD)Minimum Users</v>
      </c>
      <c r="O90" t="str">
        <f t="shared" si="3"/>
        <v/>
      </c>
      <c r="P90" t="str">
        <f>VLOOKUP(N90,'[1]Sheet1 (2)'!$L:$M,2,0)</f>
        <v/>
      </c>
    </row>
    <row r="91" spans="1:16" hidden="1" x14ac:dyDescent="0.2">
      <c r="A91" s="13" t="s">
        <v>46</v>
      </c>
      <c r="B91" s="13" t="s">
        <v>200</v>
      </c>
      <c r="C91" s="13" t="s">
        <v>199</v>
      </c>
      <c r="D91" s="15" t="s">
        <v>173</v>
      </c>
      <c r="E91" s="15" t="s">
        <v>17</v>
      </c>
      <c r="F91" s="15" t="s">
        <v>96</v>
      </c>
      <c r="G91" s="15">
        <v>9999</v>
      </c>
      <c r="H91" s="15"/>
      <c r="I91" s="15"/>
      <c r="J91" s="15" t="s">
        <v>174</v>
      </c>
      <c r="K91" s="15" t="s">
        <v>25</v>
      </c>
      <c r="L91" s="15"/>
      <c r="M91" s="15"/>
      <c r="N91" t="str">
        <f t="shared" si="4"/>
        <v>ActivityILTClass(ST)-Sessions(CSOD)Maximum Users</v>
      </c>
      <c r="O91" t="str">
        <f t="shared" si="3"/>
        <v/>
      </c>
      <c r="P91" t="str">
        <f>VLOOKUP(N91,'[1]Sheet1 (2)'!$L:$M,2,0)</f>
        <v/>
      </c>
    </row>
    <row r="92" spans="1:16" hidden="1" x14ac:dyDescent="0.2">
      <c r="A92" s="13" t="s">
        <v>46</v>
      </c>
      <c r="B92" s="13" t="s">
        <v>200</v>
      </c>
      <c r="C92" s="13" t="s">
        <v>199</v>
      </c>
      <c r="D92" s="15" t="s">
        <v>127</v>
      </c>
      <c r="E92" s="15" t="s">
        <v>17</v>
      </c>
      <c r="F92" s="15" t="s">
        <v>96</v>
      </c>
      <c r="G92" s="15">
        <v>999</v>
      </c>
      <c r="H92" s="15"/>
      <c r="I92" s="15"/>
      <c r="J92" s="15" t="s">
        <v>128</v>
      </c>
      <c r="K92" s="15" t="s">
        <v>129</v>
      </c>
      <c r="L92" s="15"/>
      <c r="M92" s="15"/>
      <c r="N92" t="str">
        <f t="shared" si="4"/>
        <v>ActivityILTClass(ST)-Sessions(CSOD)Credits</v>
      </c>
      <c r="O92" t="str">
        <f t="shared" si="3"/>
        <v/>
      </c>
      <c r="P92" t="e">
        <f>VLOOKUP(N92,'[1]Sheet1 (2)'!$L:$M,2,0)</f>
        <v>#N/A</v>
      </c>
    </row>
    <row r="93" spans="1:16" hidden="1" x14ac:dyDescent="0.2">
      <c r="A93" s="13" t="s">
        <v>46</v>
      </c>
      <c r="B93" s="13" t="s">
        <v>200</v>
      </c>
      <c r="C93" s="13" t="s">
        <v>199</v>
      </c>
      <c r="D93" s="15" t="s">
        <v>175</v>
      </c>
      <c r="E93" s="15" t="s">
        <v>17</v>
      </c>
      <c r="F93" s="15" t="s">
        <v>96</v>
      </c>
      <c r="G93" s="15"/>
      <c r="H93" s="15">
        <v>1</v>
      </c>
      <c r="I93" s="15"/>
      <c r="J93" s="15"/>
      <c r="K93" s="15"/>
      <c r="L93" s="15"/>
      <c r="M93" s="15"/>
      <c r="N93" t="str">
        <f t="shared" si="4"/>
        <v>ActivityILTClass(ST)-Sessions(CSOD)Attendance Parts</v>
      </c>
      <c r="O93">
        <f t="shared" si="3"/>
        <v>1</v>
      </c>
      <c r="P93">
        <f>VLOOKUP(N93,'[1]Sheet1 (2)'!$L:$M,2,0)</f>
        <v>1</v>
      </c>
    </row>
    <row r="94" spans="1:16" ht="32" hidden="1" x14ac:dyDescent="0.2">
      <c r="A94" s="13" t="s">
        <v>46</v>
      </c>
      <c r="B94" s="13" t="s">
        <v>200</v>
      </c>
      <c r="C94" s="13" t="s">
        <v>199</v>
      </c>
      <c r="D94" s="15" t="s">
        <v>84</v>
      </c>
      <c r="E94" s="15" t="s">
        <v>17</v>
      </c>
      <c r="F94" s="15" t="s">
        <v>85</v>
      </c>
      <c r="G94" s="15"/>
      <c r="H94" s="15" t="s">
        <v>86</v>
      </c>
      <c r="I94" s="17" t="s">
        <v>176</v>
      </c>
      <c r="J94" s="15"/>
      <c r="K94" s="15"/>
      <c r="L94" s="15"/>
      <c r="M94" s="15"/>
      <c r="N94" t="str">
        <f t="shared" si="4"/>
        <v>ActivityILTClass(ST)-Sessions(CSOD)Emails</v>
      </c>
      <c r="O94" t="str">
        <f t="shared" si="3"/>
        <v>No Email</v>
      </c>
      <c r="P94" t="str">
        <f>VLOOKUP(N94,'[1]Sheet1 (2)'!$L:$M,2,0)</f>
        <v>No Email</v>
      </c>
    </row>
    <row r="95" spans="1:16" hidden="1" x14ac:dyDescent="0.2">
      <c r="A95" s="13" t="s">
        <v>46</v>
      </c>
      <c r="B95" s="13" t="s">
        <v>200</v>
      </c>
      <c r="C95" s="13" t="s">
        <v>199</v>
      </c>
      <c r="D95" s="15" t="s">
        <v>177</v>
      </c>
      <c r="E95" s="15" t="s">
        <v>17</v>
      </c>
      <c r="F95" s="15" t="s">
        <v>11</v>
      </c>
      <c r="G95" s="15">
        <v>10</v>
      </c>
      <c r="H95" s="15"/>
      <c r="I95" s="15"/>
      <c r="J95" s="15"/>
      <c r="K95" s="15"/>
      <c r="L95" s="15"/>
      <c r="M95" s="15"/>
      <c r="N95" t="str">
        <f t="shared" si="4"/>
        <v>ActivityILTClass(ST)-Sessions(CSOD)Currency Code</v>
      </c>
      <c r="O95" t="str">
        <f t="shared" si="3"/>
        <v/>
      </c>
      <c r="P95" t="str">
        <f>VLOOKUP(N95,'[1]Sheet1 (2)'!$L:$M,2,0)</f>
        <v/>
      </c>
    </row>
    <row r="96" spans="1:16" hidden="1" x14ac:dyDescent="0.2">
      <c r="A96" s="13" t="s">
        <v>46</v>
      </c>
      <c r="B96" s="13" t="s">
        <v>200</v>
      </c>
      <c r="C96" s="13" t="s">
        <v>199</v>
      </c>
      <c r="D96" s="15" t="s">
        <v>178</v>
      </c>
      <c r="E96" s="15" t="s">
        <v>17</v>
      </c>
      <c r="F96" s="15" t="s">
        <v>96</v>
      </c>
      <c r="G96" s="15"/>
      <c r="H96" s="15"/>
      <c r="I96" s="15"/>
      <c r="J96" s="15"/>
      <c r="K96" s="15"/>
      <c r="L96" s="15"/>
      <c r="M96" s="15"/>
      <c r="N96" t="str">
        <f t="shared" si="4"/>
        <v>ActivityILTClass(ST)-Sessions(CSOD)Price Per Session</v>
      </c>
      <c r="O96" t="str">
        <f t="shared" si="3"/>
        <v/>
      </c>
      <c r="P96" t="str">
        <f>VLOOKUP(N96,'[1]Sheet1 (2)'!$L:$M,2,0)</f>
        <v/>
      </c>
    </row>
    <row r="97" spans="1:16" hidden="1" x14ac:dyDescent="0.2">
      <c r="A97" s="13" t="s">
        <v>46</v>
      </c>
      <c r="B97" s="13" t="s">
        <v>200</v>
      </c>
      <c r="C97" s="13" t="s">
        <v>199</v>
      </c>
      <c r="D97" s="15" t="s">
        <v>179</v>
      </c>
      <c r="E97" s="15" t="s">
        <v>17</v>
      </c>
      <c r="F97" s="15" t="s">
        <v>96</v>
      </c>
      <c r="G97" s="15">
        <v>9999999999</v>
      </c>
      <c r="H97" s="15"/>
      <c r="I97" s="15"/>
      <c r="J97" s="15"/>
      <c r="K97" s="15"/>
      <c r="L97" s="15"/>
      <c r="M97" s="15"/>
      <c r="N97" t="str">
        <f t="shared" si="4"/>
        <v>ActivityILTClass(ST)-Sessions(CSOD)No-show Penalty – Monetary</v>
      </c>
      <c r="O97" t="str">
        <f t="shared" si="3"/>
        <v/>
      </c>
      <c r="P97" t="str">
        <f>VLOOKUP(N97,'[1]Sheet1 (2)'!$L:$M,2,0)</f>
        <v/>
      </c>
    </row>
    <row r="98" spans="1:16" hidden="1" x14ac:dyDescent="0.2">
      <c r="A98" s="13" t="s">
        <v>46</v>
      </c>
      <c r="B98" s="13" t="s">
        <v>200</v>
      </c>
      <c r="C98" s="13" t="s">
        <v>199</v>
      </c>
      <c r="D98" s="15" t="s">
        <v>180</v>
      </c>
      <c r="E98" s="15" t="s">
        <v>17</v>
      </c>
      <c r="F98" s="15" t="s">
        <v>96</v>
      </c>
      <c r="G98" s="15">
        <v>9999999999</v>
      </c>
      <c r="H98" s="15"/>
      <c r="I98" s="15"/>
      <c r="J98" s="15"/>
      <c r="K98" s="15"/>
      <c r="L98" s="15"/>
      <c r="M98" s="15"/>
      <c r="N98" t="str">
        <f t="shared" si="4"/>
        <v>ActivityILTClass(ST)-Sessions(CSOD)No-show Penalty – Training Units</v>
      </c>
      <c r="O98" t="str">
        <f t="shared" si="3"/>
        <v/>
      </c>
      <c r="P98" t="str">
        <f>VLOOKUP(N98,'[1]Sheet1 (2)'!$L:$M,2,0)</f>
        <v/>
      </c>
    </row>
    <row r="99" spans="1:16" ht="48" hidden="1" x14ac:dyDescent="0.2">
      <c r="A99" s="13" t="s">
        <v>46</v>
      </c>
      <c r="B99" s="13" t="s">
        <v>200</v>
      </c>
      <c r="C99" s="13" t="s">
        <v>199</v>
      </c>
      <c r="D99" s="15" t="s">
        <v>181</v>
      </c>
      <c r="E99" s="15" t="s">
        <v>17</v>
      </c>
      <c r="F99" s="15" t="s">
        <v>18</v>
      </c>
      <c r="G99" s="15"/>
      <c r="H99" s="15"/>
      <c r="I99" s="17" t="s">
        <v>19</v>
      </c>
      <c r="J99" s="15"/>
      <c r="K99" s="15"/>
      <c r="L99" s="15"/>
      <c r="M99" s="15"/>
      <c r="N99" t="str">
        <f t="shared" si="4"/>
        <v>ActivityILTClass(ST)-Sessions(CSOD)Restrict Withdraw from Session</v>
      </c>
      <c r="O99" t="str">
        <f t="shared" si="3"/>
        <v/>
      </c>
      <c r="P99" t="str">
        <f>VLOOKUP(N99,'[1]Sheet1 (2)'!$L:$M,2,0)</f>
        <v/>
      </c>
    </row>
    <row r="100" spans="1:16" hidden="1" x14ac:dyDescent="0.2">
      <c r="A100" s="13" t="s">
        <v>46</v>
      </c>
      <c r="B100" s="13" t="s">
        <v>200</v>
      </c>
      <c r="C100" s="13" t="s">
        <v>199</v>
      </c>
      <c r="D100" s="15" t="s">
        <v>182</v>
      </c>
      <c r="E100" s="15" t="s">
        <v>17</v>
      </c>
      <c r="F100" s="15" t="s">
        <v>11</v>
      </c>
      <c r="G100" s="15"/>
      <c r="H100" s="15"/>
      <c r="I100" s="17" t="s">
        <v>183</v>
      </c>
      <c r="J100" s="15"/>
      <c r="K100" s="15"/>
      <c r="L100" s="15"/>
      <c r="M100" s="15"/>
      <c r="N100" t="str">
        <f t="shared" si="4"/>
        <v>ActivityILTClass(ST)-Sessions(CSOD)Refund Type</v>
      </c>
      <c r="O100" t="str">
        <f t="shared" si="3"/>
        <v/>
      </c>
      <c r="P100" t="str">
        <f>VLOOKUP(N100,'[1]Sheet1 (2)'!$L:$M,2,0)</f>
        <v/>
      </c>
    </row>
    <row r="101" spans="1:16" hidden="1" x14ac:dyDescent="0.2">
      <c r="A101" s="13" t="s">
        <v>46</v>
      </c>
      <c r="B101" s="13" t="s">
        <v>200</v>
      </c>
      <c r="C101" s="13" t="s">
        <v>199</v>
      </c>
      <c r="D101" s="15" t="s">
        <v>184</v>
      </c>
      <c r="E101" s="15" t="s">
        <v>17</v>
      </c>
      <c r="F101" s="15" t="s">
        <v>96</v>
      </c>
      <c r="G101" s="15">
        <v>100</v>
      </c>
      <c r="H101" s="15"/>
      <c r="I101" s="15"/>
      <c r="J101" s="15"/>
      <c r="K101" s="15"/>
      <c r="L101" s="15"/>
      <c r="M101" s="15"/>
      <c r="N101" t="str">
        <f t="shared" si="4"/>
        <v>ActivityILTClass(ST)-Sessions(CSOD)Refund Percentage‡</v>
      </c>
      <c r="O101" t="str">
        <f t="shared" si="3"/>
        <v/>
      </c>
      <c r="P101" t="str">
        <f>VLOOKUP(N101,'[1]Sheet1 (2)'!$L:$M,2,0)</f>
        <v/>
      </c>
    </row>
    <row r="102" spans="1:16" hidden="1" x14ac:dyDescent="0.2">
      <c r="A102" s="13" t="s">
        <v>46</v>
      </c>
      <c r="B102" s="13" t="s">
        <v>200</v>
      </c>
      <c r="C102" s="13" t="s">
        <v>199</v>
      </c>
      <c r="D102" s="15" t="s">
        <v>185</v>
      </c>
      <c r="E102" s="15" t="s">
        <v>17</v>
      </c>
      <c r="F102" s="15" t="s">
        <v>96</v>
      </c>
      <c r="G102" s="15"/>
      <c r="H102" s="15"/>
      <c r="I102" s="15"/>
      <c r="J102" s="15"/>
      <c r="K102" s="15"/>
      <c r="L102" s="15"/>
      <c r="M102" s="15"/>
      <c r="N102" t="str">
        <f t="shared" si="4"/>
        <v>ActivityILTClass(ST)-Sessions(CSOD)Refund Amount‡</v>
      </c>
      <c r="O102" t="str">
        <f t="shared" si="3"/>
        <v/>
      </c>
      <c r="P102" t="str">
        <f>VLOOKUP(N102,'[1]Sheet1 (2)'!$L:$M,2,0)</f>
        <v/>
      </c>
    </row>
    <row r="103" spans="1:16" hidden="1" x14ac:dyDescent="0.2">
      <c r="A103" s="13" t="s">
        <v>46</v>
      </c>
      <c r="B103" s="13" t="s">
        <v>200</v>
      </c>
      <c r="C103" s="13" t="s">
        <v>199</v>
      </c>
      <c r="D103" s="15" t="s">
        <v>186</v>
      </c>
      <c r="E103" s="15" t="s">
        <v>17</v>
      </c>
      <c r="F103" s="15" t="s">
        <v>96</v>
      </c>
      <c r="G103" s="15">
        <v>9999</v>
      </c>
      <c r="H103" s="15"/>
      <c r="I103" s="15"/>
      <c r="J103" s="15"/>
      <c r="K103" s="15"/>
      <c r="L103" s="15"/>
      <c r="M103" s="15"/>
      <c r="N103" t="str">
        <f t="shared" si="4"/>
        <v>ActivityILTClass(ST)-Sessions(CSOD)Refund Number of Days prior to start‡</v>
      </c>
      <c r="O103" t="str">
        <f t="shared" si="3"/>
        <v/>
      </c>
      <c r="P103" t="str">
        <f>VLOOKUP(N103,'[1]Sheet1 (2)'!$L:$M,2,0)</f>
        <v/>
      </c>
    </row>
    <row r="104" spans="1:16" hidden="1" x14ac:dyDescent="0.2">
      <c r="A104" s="13" t="s">
        <v>46</v>
      </c>
      <c r="B104" s="13" t="s">
        <v>200</v>
      </c>
      <c r="C104" s="13" t="s">
        <v>199</v>
      </c>
      <c r="D104" s="15" t="s">
        <v>187</v>
      </c>
      <c r="E104" s="15" t="s">
        <v>17</v>
      </c>
      <c r="F104" s="15" t="s">
        <v>96</v>
      </c>
      <c r="G104" s="15">
        <v>100</v>
      </c>
      <c r="H104" s="15"/>
      <c r="I104" s="15"/>
      <c r="J104" s="15"/>
      <c r="K104" s="15"/>
      <c r="L104" s="15"/>
      <c r="M104" s="15"/>
      <c r="N104" t="str">
        <f t="shared" si="4"/>
        <v>ActivityILTClass(ST)-Sessions(CSOD)Withdrawal Penalty Percentage</v>
      </c>
      <c r="O104" t="str">
        <f t="shared" si="3"/>
        <v/>
      </c>
      <c r="P104" t="str">
        <f>VLOOKUP(N104,'[1]Sheet1 (2)'!$L:$M,2,0)</f>
        <v/>
      </c>
    </row>
    <row r="105" spans="1:16" hidden="1" x14ac:dyDescent="0.2">
      <c r="A105" s="13" t="s">
        <v>46</v>
      </c>
      <c r="B105" s="13" t="s">
        <v>200</v>
      </c>
      <c r="C105" s="13" t="s">
        <v>199</v>
      </c>
      <c r="D105" s="15" t="s">
        <v>188</v>
      </c>
      <c r="E105" s="15" t="s">
        <v>17</v>
      </c>
      <c r="F105" s="15" t="s">
        <v>96</v>
      </c>
      <c r="G105" s="15"/>
      <c r="H105" s="15"/>
      <c r="I105" s="15"/>
      <c r="J105" s="15"/>
      <c r="K105" s="15"/>
      <c r="L105" s="15"/>
      <c r="M105" s="15"/>
      <c r="N105" t="str">
        <f t="shared" si="4"/>
        <v>ActivityILTClass(ST)-Sessions(CSOD)Withdrawal Penalty Amount</v>
      </c>
      <c r="O105" t="str">
        <f t="shared" si="3"/>
        <v/>
      </c>
      <c r="P105" t="str">
        <f>VLOOKUP(N105,'[1]Sheet1 (2)'!$L:$M,2,0)</f>
        <v/>
      </c>
    </row>
    <row r="106" spans="1:16" hidden="1" x14ac:dyDescent="0.2">
      <c r="A106" s="13" t="s">
        <v>46</v>
      </c>
      <c r="B106" s="13" t="s">
        <v>200</v>
      </c>
      <c r="C106" s="13" t="s">
        <v>199</v>
      </c>
      <c r="D106" s="15" t="s">
        <v>189</v>
      </c>
      <c r="E106" s="15" t="s">
        <v>17</v>
      </c>
      <c r="F106" s="15" t="s">
        <v>96</v>
      </c>
      <c r="G106" s="15"/>
      <c r="H106" s="15"/>
      <c r="I106" s="15"/>
      <c r="J106" s="15"/>
      <c r="K106" s="15"/>
      <c r="L106" s="15"/>
      <c r="M106" s="15"/>
      <c r="N106" t="str">
        <f t="shared" si="4"/>
        <v>ActivityILTClass(ST)-Sessions(CSOD)Penalty Number of Days prior to start</v>
      </c>
      <c r="O106" t="str">
        <f t="shared" si="3"/>
        <v/>
      </c>
      <c r="P106" t="str">
        <f>VLOOKUP(N106,'[1]Sheet1 (2)'!$L:$M,2,0)</f>
        <v/>
      </c>
    </row>
    <row r="107" spans="1:16" hidden="1" x14ac:dyDescent="0.2">
      <c r="A107" s="13" t="s">
        <v>46</v>
      </c>
      <c r="B107" s="13" t="s">
        <v>200</v>
      </c>
      <c r="C107" s="13" t="s">
        <v>199</v>
      </c>
      <c r="D107" s="15" t="s">
        <v>41</v>
      </c>
      <c r="E107" s="15" t="s">
        <v>17</v>
      </c>
      <c r="F107" s="15" t="s">
        <v>11</v>
      </c>
      <c r="G107" s="15">
        <v>128</v>
      </c>
      <c r="H107" s="15"/>
      <c r="I107" s="15"/>
      <c r="J107" s="15"/>
      <c r="K107" s="15"/>
      <c r="L107" s="15"/>
      <c r="M107" s="15"/>
      <c r="N107" t="str">
        <f t="shared" si="4"/>
        <v>ActivityILTClass(ST)-Sessions(CSOD)Created/Modified By</v>
      </c>
      <c r="O107" t="str">
        <f t="shared" si="3"/>
        <v/>
      </c>
      <c r="P107" t="e">
        <f>VLOOKUP(N107,'[1]Sheet1 (2)'!$L:$M,2,0)</f>
        <v>#N/A</v>
      </c>
    </row>
    <row r="108" spans="1:16" ht="48" hidden="1" x14ac:dyDescent="0.2">
      <c r="A108" s="13" t="s">
        <v>46</v>
      </c>
      <c r="B108" s="13" t="s">
        <v>200</v>
      </c>
      <c r="C108" s="13" t="s">
        <v>199</v>
      </c>
      <c r="D108" s="15" t="s">
        <v>190</v>
      </c>
      <c r="E108" s="15" t="s">
        <v>17</v>
      </c>
      <c r="F108" s="15" t="s">
        <v>18</v>
      </c>
      <c r="G108" s="15"/>
      <c r="H108" s="15"/>
      <c r="I108" s="17" t="s">
        <v>19</v>
      </c>
      <c r="J108" s="15"/>
      <c r="K108" s="15"/>
      <c r="L108" s="15"/>
      <c r="M108" s="15"/>
      <c r="N108" t="str">
        <f t="shared" si="4"/>
        <v>ActivityILTClass(ST)-Sessions(CSOD)Do not allow exception request</v>
      </c>
      <c r="O108" t="str">
        <f t="shared" si="3"/>
        <v/>
      </c>
      <c r="P108" t="str">
        <f>VLOOKUP(N108,'[1]Sheet1 (2)'!$L:$M,2,0)</f>
        <v/>
      </c>
    </row>
    <row r="109" spans="1:16" ht="48" hidden="1" x14ac:dyDescent="0.2">
      <c r="A109" s="13" t="s">
        <v>46</v>
      </c>
      <c r="B109" s="13" t="s">
        <v>200</v>
      </c>
      <c r="C109" s="13" t="s">
        <v>199</v>
      </c>
      <c r="D109" s="15" t="s">
        <v>191</v>
      </c>
      <c r="E109" s="15" t="s">
        <v>17</v>
      </c>
      <c r="F109" s="15" t="s">
        <v>18</v>
      </c>
      <c r="G109" s="15"/>
      <c r="H109" s="15"/>
      <c r="I109" s="17" t="s">
        <v>19</v>
      </c>
      <c r="J109" s="15"/>
      <c r="K109" s="15"/>
      <c r="L109" s="15"/>
      <c r="M109" s="15"/>
      <c r="N109" t="str">
        <f t="shared" si="4"/>
        <v>ActivityILTClass(ST)-Sessions(CSOD)Copy Availability from its Event</v>
      </c>
      <c r="O109" t="str">
        <f t="shared" si="3"/>
        <v/>
      </c>
      <c r="P109" t="str">
        <f>VLOOKUP(N109,'[1]Sheet1 (2)'!$L:$M,2,0)</f>
        <v/>
      </c>
    </row>
    <row r="110" spans="1:16" ht="48" hidden="1" x14ac:dyDescent="0.2">
      <c r="A110" s="13" t="s">
        <v>46</v>
      </c>
      <c r="B110" s="13" t="s">
        <v>200</v>
      </c>
      <c r="C110" s="13" t="s">
        <v>199</v>
      </c>
      <c r="D110" s="15" t="s">
        <v>72</v>
      </c>
      <c r="E110" s="15" t="s">
        <v>17</v>
      </c>
      <c r="F110" s="15" t="s">
        <v>18</v>
      </c>
      <c r="G110" s="15"/>
      <c r="H110" s="15"/>
      <c r="I110" s="17" t="s">
        <v>19</v>
      </c>
      <c r="J110" s="15"/>
      <c r="K110" s="15"/>
      <c r="L110" s="15"/>
      <c r="M110" s="15"/>
      <c r="N110" t="str">
        <f t="shared" si="4"/>
        <v>ActivityILTClass(ST)-Sessions(CSOD)Availability to All Users</v>
      </c>
      <c r="O110" t="str">
        <f t="shared" si="3"/>
        <v/>
      </c>
      <c r="P110" t="str">
        <f>VLOOKUP(N110,'[1]Sheet1 (2)'!$L:$M,2,0)</f>
        <v/>
      </c>
    </row>
    <row r="111" spans="1:16" hidden="1" x14ac:dyDescent="0.2">
      <c r="A111" s="13" t="s">
        <v>46</v>
      </c>
      <c r="B111" s="13" t="s">
        <v>200</v>
      </c>
      <c r="C111" s="13" t="s">
        <v>199</v>
      </c>
      <c r="D111" s="15" t="s">
        <v>73</v>
      </c>
      <c r="E111" s="15" t="s">
        <v>17</v>
      </c>
      <c r="F111" s="15" t="s">
        <v>11</v>
      </c>
      <c r="G111" s="15">
        <v>200</v>
      </c>
      <c r="H111" s="15"/>
      <c r="I111" s="15"/>
      <c r="J111" s="15"/>
      <c r="K111" s="15"/>
      <c r="L111" s="15"/>
      <c r="M111" s="15"/>
      <c r="N111" t="str">
        <f t="shared" si="4"/>
        <v>ActivityILTClass(ST)-Sessions(CSOD)Availability to Specific Users</v>
      </c>
      <c r="O111" t="str">
        <f t="shared" si="3"/>
        <v/>
      </c>
      <c r="P111" t="e">
        <f>VLOOKUP(N111,'[1]Sheet1 (2)'!$L:$M,2,0)</f>
        <v>#N/A</v>
      </c>
    </row>
    <row r="112" spans="1:16" hidden="1" x14ac:dyDescent="0.2">
      <c r="A112" s="13" t="s">
        <v>46</v>
      </c>
      <c r="B112" s="13" t="s">
        <v>200</v>
      </c>
      <c r="C112" s="13" t="s">
        <v>199</v>
      </c>
      <c r="D112" s="15" t="s">
        <v>74</v>
      </c>
      <c r="E112" s="15" t="s">
        <v>17</v>
      </c>
      <c r="F112" s="15" t="s">
        <v>11</v>
      </c>
      <c r="G112" s="15">
        <v>200</v>
      </c>
      <c r="H112" s="15"/>
      <c r="I112" s="15"/>
      <c r="J112" s="15"/>
      <c r="K112" s="15"/>
      <c r="L112" s="15"/>
      <c r="M112" s="15"/>
      <c r="N112" t="str">
        <f t="shared" si="4"/>
        <v>ActivityILTClass(ST)-Sessions(CSOD)Availability to OU‡</v>
      </c>
      <c r="O112" t="str">
        <f t="shared" si="3"/>
        <v/>
      </c>
      <c r="P112" t="e">
        <f>VLOOKUP(N112,'[1]Sheet1 (2)'!$L:$M,2,0)</f>
        <v>#N/A</v>
      </c>
    </row>
    <row r="113" spans="1:16" hidden="1" x14ac:dyDescent="0.2">
      <c r="A113" s="13" t="s">
        <v>46</v>
      </c>
      <c r="B113" s="13" t="s">
        <v>200</v>
      </c>
      <c r="C113" s="13" t="s">
        <v>199</v>
      </c>
      <c r="D113" s="15" t="s">
        <v>75</v>
      </c>
      <c r="E113" s="15" t="s">
        <v>17</v>
      </c>
      <c r="F113" s="15" t="s">
        <v>11</v>
      </c>
      <c r="G113" s="15">
        <v>200</v>
      </c>
      <c r="H113" s="15"/>
      <c r="I113" s="15"/>
      <c r="J113" s="15"/>
      <c r="K113" s="15"/>
      <c r="L113" s="15"/>
      <c r="M113" s="15"/>
      <c r="N113" t="str">
        <f t="shared" si="4"/>
        <v>ActivityILTClass(ST)-Sessions(CSOD)Availability OU Type</v>
      </c>
      <c r="O113" t="str">
        <f t="shared" si="3"/>
        <v/>
      </c>
      <c r="P113" t="e">
        <f>VLOOKUP(N113,'[1]Sheet1 (2)'!$L:$M,2,0)</f>
        <v>#N/A</v>
      </c>
    </row>
    <row r="114" spans="1:16" ht="48" hidden="1" x14ac:dyDescent="0.2">
      <c r="A114" s="13" t="s">
        <v>46</v>
      </c>
      <c r="B114" s="13" t="s">
        <v>200</v>
      </c>
      <c r="C114" s="13" t="s">
        <v>199</v>
      </c>
      <c r="D114" s="15" t="s">
        <v>76</v>
      </c>
      <c r="E114" s="15" t="s">
        <v>17</v>
      </c>
      <c r="F114" s="15" t="s">
        <v>18</v>
      </c>
      <c r="G114" s="15"/>
      <c r="H114" s="15" t="b">
        <v>0</v>
      </c>
      <c r="I114" s="17" t="s">
        <v>19</v>
      </c>
      <c r="J114" s="15"/>
      <c r="K114" s="15"/>
      <c r="L114" s="15"/>
      <c r="M114" s="15"/>
      <c r="N114" t="str">
        <f t="shared" si="4"/>
        <v>ActivityILTClass(ST)-Sessions(CSOD)Register Upon Approval</v>
      </c>
      <c r="O114" t="b">
        <f t="shared" si="3"/>
        <v>0</v>
      </c>
      <c r="P114" t="str">
        <f>VLOOKUP(N114,'[1]Sheet1 (2)'!$L:$M,2,0)</f>
        <v/>
      </c>
    </row>
    <row r="115" spans="1:16" ht="48" hidden="1" x14ac:dyDescent="0.2">
      <c r="A115" s="13" t="s">
        <v>46</v>
      </c>
      <c r="B115" s="13" t="s">
        <v>200</v>
      </c>
      <c r="C115" s="13" t="s">
        <v>199</v>
      </c>
      <c r="D115" s="15" t="s">
        <v>77</v>
      </c>
      <c r="E115" s="15" t="s">
        <v>17</v>
      </c>
      <c r="F115" s="15" t="s">
        <v>18</v>
      </c>
      <c r="G115" s="15"/>
      <c r="H115" s="15" t="b">
        <v>0</v>
      </c>
      <c r="I115" s="17" t="s">
        <v>19</v>
      </c>
      <c r="J115" s="15"/>
      <c r="K115" s="15"/>
      <c r="L115" s="15"/>
      <c r="M115" s="15"/>
      <c r="N115" t="str">
        <f t="shared" si="4"/>
        <v>ActivityILTClass(ST)-Sessions(CSOD)Pre-Approved</v>
      </c>
      <c r="O115" t="b">
        <f t="shared" si="3"/>
        <v>0</v>
      </c>
      <c r="P115" t="str">
        <f>VLOOKUP(N115,'[1]Sheet1 (2)'!$L:$M,2,0)</f>
        <v/>
      </c>
    </row>
    <row r="116" spans="1:16" ht="48" hidden="1" x14ac:dyDescent="0.2">
      <c r="A116" s="13" t="s">
        <v>46</v>
      </c>
      <c r="B116" s="13" t="s">
        <v>200</v>
      </c>
      <c r="C116" s="13" t="s">
        <v>199</v>
      </c>
      <c r="D116" s="15" t="s">
        <v>78</v>
      </c>
      <c r="E116" s="15" t="s">
        <v>17</v>
      </c>
      <c r="F116" s="15" t="s">
        <v>18</v>
      </c>
      <c r="G116" s="15"/>
      <c r="H116" s="15" t="b">
        <v>0</v>
      </c>
      <c r="I116" s="17" t="s">
        <v>19</v>
      </c>
      <c r="J116" s="15"/>
      <c r="K116" s="15"/>
      <c r="L116" s="15"/>
      <c r="M116" s="15"/>
      <c r="N116" t="str">
        <f t="shared" si="4"/>
        <v>ActivityILTClass(ST)-Sessions(CSOD)Includes Subordinates</v>
      </c>
      <c r="O116" t="b">
        <f t="shared" si="3"/>
        <v>0</v>
      </c>
      <c r="P116" t="str">
        <f>VLOOKUP(N116,'[1]Sheet1 (2)'!$L:$M,2,0)</f>
        <v/>
      </c>
    </row>
    <row r="117" spans="1:16" hidden="1" x14ac:dyDescent="0.2">
      <c r="A117" s="13" t="s">
        <v>46</v>
      </c>
      <c r="B117" s="13" t="s">
        <v>200</v>
      </c>
      <c r="C117" s="13" t="s">
        <v>199</v>
      </c>
      <c r="D117" s="15" t="s">
        <v>192</v>
      </c>
      <c r="E117" s="15" t="s">
        <v>17</v>
      </c>
      <c r="F117" s="15" t="s">
        <v>11</v>
      </c>
      <c r="G117" s="15">
        <v>128</v>
      </c>
      <c r="H117" s="15"/>
      <c r="I117" s="15"/>
      <c r="J117" s="15" t="s">
        <v>36</v>
      </c>
      <c r="K117" s="15" t="s">
        <v>64</v>
      </c>
      <c r="L117" s="15"/>
      <c r="M117" s="15">
        <v>100</v>
      </c>
      <c r="N117" t="str">
        <f t="shared" si="4"/>
        <v>ActivityILTClass(ST)-Sessions(CSOD)Training Contact</v>
      </c>
      <c r="O117" t="str">
        <f t="shared" si="3"/>
        <v/>
      </c>
      <c r="P117" t="str">
        <f>VLOOKUP(N117,'[1]Sheet1 (2)'!$L:$M,2,0)</f>
        <v/>
      </c>
    </row>
    <row r="118" spans="1:16" hidden="1" x14ac:dyDescent="0.2">
      <c r="A118" s="13" t="s">
        <v>46</v>
      </c>
      <c r="B118" s="13" t="s">
        <v>200</v>
      </c>
      <c r="C118" s="13" t="s">
        <v>199</v>
      </c>
      <c r="D118" s="15" t="s">
        <v>193</v>
      </c>
      <c r="E118" s="15" t="s">
        <v>17</v>
      </c>
      <c r="F118" s="15" t="s">
        <v>11</v>
      </c>
      <c r="G118" s="15"/>
      <c r="H118" s="15"/>
      <c r="I118" s="15"/>
      <c r="J118" s="15"/>
      <c r="K118" s="15"/>
      <c r="L118" s="15"/>
      <c r="M118" s="15"/>
      <c r="N118" t="str">
        <f t="shared" si="4"/>
        <v>ActivityILTClass(ST)-Sessions(CSOD)Training Units</v>
      </c>
      <c r="O118" t="str">
        <f t="shared" si="3"/>
        <v/>
      </c>
      <c r="P118" t="str">
        <f>VLOOKUP(N118,'[1]Sheet1 (2)'!$L:$M,2,0)</f>
        <v/>
      </c>
    </row>
    <row r="119" spans="1:16" hidden="1" x14ac:dyDescent="0.2">
      <c r="A119" s="13" t="s">
        <v>46</v>
      </c>
      <c r="B119" s="13" t="s">
        <v>200</v>
      </c>
      <c r="C119" s="13" t="s">
        <v>199</v>
      </c>
      <c r="D119" s="15" t="s">
        <v>194</v>
      </c>
      <c r="E119" s="15" t="s">
        <v>17</v>
      </c>
      <c r="F119" s="15" t="s">
        <v>96</v>
      </c>
      <c r="G119" s="15">
        <v>99999999</v>
      </c>
      <c r="H119" s="15"/>
      <c r="I119" s="15"/>
      <c r="J119" s="15"/>
      <c r="K119" s="15"/>
      <c r="L119" s="15"/>
      <c r="M119" s="15"/>
      <c r="N119" t="str">
        <f t="shared" si="4"/>
        <v>ActivityILTClass(ST)-Sessions(CSOD)Default Training Unit Price</v>
      </c>
      <c r="O119" t="str">
        <f t="shared" si="3"/>
        <v/>
      </c>
      <c r="P119" t="str">
        <f>VLOOKUP(N119,'[1]Sheet1 (2)'!$L:$M,2,0)</f>
        <v/>
      </c>
    </row>
    <row r="120" spans="1:16" hidden="1" x14ac:dyDescent="0.2">
      <c r="A120" s="13" t="s">
        <v>46</v>
      </c>
      <c r="B120" s="13" t="s">
        <v>200</v>
      </c>
      <c r="C120" s="13" t="s">
        <v>199</v>
      </c>
      <c r="D120" s="15" t="s">
        <v>195</v>
      </c>
      <c r="E120" s="15" t="s">
        <v>17</v>
      </c>
      <c r="F120" s="15" t="s">
        <v>96</v>
      </c>
      <c r="G120" s="15">
        <v>999</v>
      </c>
      <c r="H120" s="15"/>
      <c r="I120" s="15"/>
      <c r="J120" s="15"/>
      <c r="K120" s="15"/>
      <c r="L120" s="15"/>
      <c r="M120" s="15"/>
      <c r="N120" t="str">
        <f t="shared" si="4"/>
        <v>ActivityILTClass(ST)-Sessions(CSOD)Required Training Approvals</v>
      </c>
      <c r="O120" t="str">
        <f t="shared" si="3"/>
        <v/>
      </c>
      <c r="P120" t="str">
        <f>VLOOKUP(N120,'[1]Sheet1 (2)'!$L:$M,2,0)</f>
        <v/>
      </c>
    </row>
    <row r="121" spans="1:16" hidden="1" x14ac:dyDescent="0.2">
      <c r="A121" s="13" t="s">
        <v>46</v>
      </c>
      <c r="B121" s="13" t="s">
        <v>200</v>
      </c>
      <c r="C121" s="13" t="s">
        <v>199</v>
      </c>
      <c r="D121" s="15" t="s">
        <v>196</v>
      </c>
      <c r="E121" s="15" t="s">
        <v>17</v>
      </c>
      <c r="F121" s="15" t="s">
        <v>96</v>
      </c>
      <c r="G121" s="15">
        <v>999</v>
      </c>
      <c r="H121" s="15"/>
      <c r="I121" s="15"/>
      <c r="J121" s="15"/>
      <c r="K121" s="15"/>
      <c r="L121" s="15"/>
      <c r="M121" s="15"/>
      <c r="N121" t="str">
        <f t="shared" si="4"/>
        <v>ActivityILTClass(ST)-Sessions(CSOD)Required Completion Approvals</v>
      </c>
      <c r="O121" t="str">
        <f t="shared" si="3"/>
        <v/>
      </c>
      <c r="P121" t="str">
        <f>VLOOKUP(N121,'[1]Sheet1 (2)'!$L:$M,2,0)</f>
        <v/>
      </c>
    </row>
    <row r="122" spans="1:16" hidden="1" x14ac:dyDescent="0.2">
      <c r="A122" s="13" t="s">
        <v>46</v>
      </c>
      <c r="B122" s="13" t="s">
        <v>200</v>
      </c>
      <c r="C122" s="13" t="s">
        <v>199</v>
      </c>
      <c r="D122" s="15" t="s">
        <v>197</v>
      </c>
      <c r="E122" s="15" t="s">
        <v>17</v>
      </c>
      <c r="F122" s="15" t="s">
        <v>11</v>
      </c>
      <c r="G122" s="15"/>
      <c r="H122" s="15"/>
      <c r="I122" s="15"/>
      <c r="J122" s="15"/>
      <c r="K122" s="15"/>
      <c r="L122" s="15"/>
      <c r="M122" s="15"/>
      <c r="N122" t="str">
        <f t="shared" si="4"/>
        <v>ActivityILTClass(ST)-Sessions(CSOD)Request Form</v>
      </c>
      <c r="O122" t="str">
        <f t="shared" si="3"/>
        <v/>
      </c>
      <c r="P122" t="str">
        <f>VLOOKUP(N122,'[1]Sheet1 (2)'!$L:$M,2,0)</f>
        <v/>
      </c>
    </row>
    <row r="123" spans="1:16" hidden="1" x14ac:dyDescent="0.2">
      <c r="A123" s="13" t="s">
        <v>46</v>
      </c>
      <c r="B123" s="13" t="s">
        <v>227</v>
      </c>
      <c r="C123" s="13" t="s">
        <v>201</v>
      </c>
      <c r="D123" s="15" t="s">
        <v>202</v>
      </c>
      <c r="E123" s="15" t="s">
        <v>10</v>
      </c>
      <c r="F123" s="15" t="s">
        <v>11</v>
      </c>
      <c r="G123" s="15">
        <v>100</v>
      </c>
      <c r="H123" s="15"/>
      <c r="I123" s="15"/>
      <c r="J123" s="15" t="s">
        <v>94</v>
      </c>
      <c r="K123" s="15" t="s">
        <v>64</v>
      </c>
      <c r="L123" s="15">
        <v>255</v>
      </c>
      <c r="M123" s="15"/>
      <c r="N123" t="str">
        <f t="shared" si="4"/>
        <v>ActivityILTCourse(ST)-Events(CSOD)Event ID*</v>
      </c>
      <c r="O123" t="str">
        <f t="shared" si="3"/>
        <v/>
      </c>
      <c r="P123" t="str">
        <f>VLOOKUP(N123,'[1]Sheet1 (2)'!$L:$M,2,0)</f>
        <v/>
      </c>
    </row>
    <row r="124" spans="1:16" hidden="1" x14ac:dyDescent="0.2">
      <c r="A124" s="13" t="s">
        <v>46</v>
      </c>
      <c r="B124" s="13" t="s">
        <v>227</v>
      </c>
      <c r="C124" s="13" t="s">
        <v>201</v>
      </c>
      <c r="D124" s="15" t="s">
        <v>203</v>
      </c>
      <c r="E124" s="15" t="s">
        <v>10</v>
      </c>
      <c r="F124" s="15" t="s">
        <v>11</v>
      </c>
      <c r="G124" s="15">
        <v>500</v>
      </c>
      <c r="H124" s="15"/>
      <c r="I124" s="15"/>
      <c r="J124" s="15" t="s">
        <v>54</v>
      </c>
      <c r="K124" s="15" t="s">
        <v>64</v>
      </c>
      <c r="L124" s="15">
        <v>300</v>
      </c>
      <c r="M124" s="15"/>
      <c r="N124" t="str">
        <f t="shared" si="4"/>
        <v>ActivityILTCourse(ST)-Events(CSOD)Event Name*</v>
      </c>
      <c r="O124" t="str">
        <f t="shared" si="3"/>
        <v/>
      </c>
      <c r="P124" t="str">
        <f>VLOOKUP(N124,'[1]Sheet1 (2)'!$L:$M,2,0)</f>
        <v/>
      </c>
    </row>
    <row r="125" spans="1:16" ht="48" hidden="1" x14ac:dyDescent="0.2">
      <c r="A125" s="13" t="s">
        <v>46</v>
      </c>
      <c r="B125" s="13" t="s">
        <v>227</v>
      </c>
      <c r="C125" s="13" t="s">
        <v>201</v>
      </c>
      <c r="D125" s="15" t="s">
        <v>16</v>
      </c>
      <c r="E125" s="15" t="s">
        <v>17</v>
      </c>
      <c r="F125" s="15" t="s">
        <v>18</v>
      </c>
      <c r="G125" s="15"/>
      <c r="H125" s="15" t="b">
        <v>1</v>
      </c>
      <c r="I125" s="17" t="s">
        <v>19</v>
      </c>
      <c r="J125" s="15" t="s">
        <v>16</v>
      </c>
      <c r="K125" s="15" t="s">
        <v>25</v>
      </c>
      <c r="L125" s="15"/>
      <c r="M125" s="15" t="s">
        <v>26</v>
      </c>
      <c r="N125" t="str">
        <f t="shared" si="4"/>
        <v>ActivityILTCourse(ST)-Events(CSOD)Active</v>
      </c>
      <c r="O125" t="b">
        <f t="shared" si="3"/>
        <v>1</v>
      </c>
      <c r="P125" t="b">
        <f>VLOOKUP(N125,'[1]Sheet1 (2)'!$L:$M,2,0)</f>
        <v>1</v>
      </c>
    </row>
    <row r="126" spans="1:16" hidden="1" x14ac:dyDescent="0.2">
      <c r="A126" s="13" t="s">
        <v>46</v>
      </c>
      <c r="B126" s="13" t="s">
        <v>227</v>
      </c>
      <c r="C126" s="13" t="s">
        <v>201</v>
      </c>
      <c r="D126" s="15" t="s">
        <v>55</v>
      </c>
      <c r="E126" s="15" t="s">
        <v>10</v>
      </c>
      <c r="F126" s="15" t="s">
        <v>11</v>
      </c>
      <c r="G126" s="15">
        <v>100</v>
      </c>
      <c r="H126" s="15" t="s">
        <v>161</v>
      </c>
      <c r="I126" s="15"/>
      <c r="J126" s="15" t="s">
        <v>57</v>
      </c>
      <c r="K126" s="15" t="s">
        <v>13</v>
      </c>
      <c r="L126" s="15">
        <v>50</v>
      </c>
      <c r="M126" s="15"/>
      <c r="N126" t="str">
        <f t="shared" si="4"/>
        <v>ActivityILTCourse(ST)-Events(CSOD)Vendor/Provider*</v>
      </c>
      <c r="O126" t="str">
        <f t="shared" si="3"/>
        <v>ILT Content</v>
      </c>
      <c r="P126" t="e">
        <f>VLOOKUP(N126,'[1]Sheet1 (2)'!$L:$M,2,0)</f>
        <v>#N/A</v>
      </c>
    </row>
    <row r="127" spans="1:16" hidden="1" x14ac:dyDescent="0.2">
      <c r="A127" s="13" t="s">
        <v>46</v>
      </c>
      <c r="B127" s="13" t="s">
        <v>227</v>
      </c>
      <c r="C127" s="13" t="s">
        <v>201</v>
      </c>
      <c r="D127" s="15" t="s">
        <v>204</v>
      </c>
      <c r="E127" s="15" t="s">
        <v>17</v>
      </c>
      <c r="F127" s="15" t="s">
        <v>11</v>
      </c>
      <c r="G127" s="15">
        <v>100</v>
      </c>
      <c r="H127" s="15"/>
      <c r="I127" s="15"/>
      <c r="J127" s="15"/>
      <c r="K127" s="15"/>
      <c r="L127" s="15"/>
      <c r="M127" s="15"/>
      <c r="N127" t="str">
        <f t="shared" si="4"/>
        <v>ActivityILTCourse(ST)-Events(CSOD)Secondary Vendor/Provider</v>
      </c>
      <c r="O127" t="str">
        <f t="shared" si="3"/>
        <v/>
      </c>
      <c r="P127" t="str">
        <f>VLOOKUP(N127,'[1]Sheet1 (2)'!$L:$M,2,0)</f>
        <v/>
      </c>
    </row>
    <row r="128" spans="1:16" s="21" customFormat="1" ht="409.6" hidden="1" x14ac:dyDescent="0.2">
      <c r="A128" s="23" t="s">
        <v>46</v>
      </c>
      <c r="B128" s="23" t="s">
        <v>227</v>
      </c>
      <c r="C128" s="23" t="s">
        <v>201</v>
      </c>
      <c r="D128" s="19" t="s">
        <v>62</v>
      </c>
      <c r="E128" s="19" t="s">
        <v>10</v>
      </c>
      <c r="F128" s="19" t="s">
        <v>11</v>
      </c>
      <c r="G128" s="19"/>
      <c r="H128" s="20" t="s">
        <v>299</v>
      </c>
      <c r="I128" s="19"/>
      <c r="J128" s="19" t="s">
        <v>63</v>
      </c>
      <c r="K128" s="19" t="s">
        <v>64</v>
      </c>
      <c r="L128" s="19">
        <v>255</v>
      </c>
      <c r="M128" s="19"/>
      <c r="N128" t="str">
        <f t="shared" si="4"/>
        <v>ActivityILTCourse(ST)-Events(CSOD)Subject IDs*</v>
      </c>
      <c r="O128" t="str">
        <f t="shared" si="3"/>
        <v xml:space="preserve"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
ELSE </v>
      </c>
      <c r="P128" t="str">
        <f>VLOOKUP(N128,'[1]Sheet1 (2)'!$L:$M,2,0)</f>
        <v/>
      </c>
    </row>
    <row r="129" spans="1:16" ht="48" hidden="1" x14ac:dyDescent="0.2">
      <c r="A129" s="13" t="s">
        <v>46</v>
      </c>
      <c r="B129" s="13" t="s">
        <v>227</v>
      </c>
      <c r="C129" s="13" t="s">
        <v>201</v>
      </c>
      <c r="D129" s="15" t="s">
        <v>165</v>
      </c>
      <c r="E129" s="15" t="s">
        <v>17</v>
      </c>
      <c r="F129" s="15" t="s">
        <v>18</v>
      </c>
      <c r="G129" s="15"/>
      <c r="H129" s="15" t="b">
        <v>1</v>
      </c>
      <c r="I129" s="17" t="s">
        <v>19</v>
      </c>
      <c r="J129" s="15"/>
      <c r="K129" s="15"/>
      <c r="L129" s="15"/>
      <c r="M129" s="15"/>
      <c r="N129" t="str">
        <f t="shared" si="4"/>
        <v>ActivityILTCourse(ST)-Events(CSOD)Allow waitlist for sessions</v>
      </c>
      <c r="O129" t="b">
        <f t="shared" si="3"/>
        <v>1</v>
      </c>
      <c r="P129" t="b">
        <f>VLOOKUP(N129,'[1]Sheet1 (2)'!$L:$M,2,0)</f>
        <v>1</v>
      </c>
    </row>
    <row r="130" spans="1:16" ht="32" hidden="1" x14ac:dyDescent="0.2">
      <c r="A130" s="13" t="s">
        <v>46</v>
      </c>
      <c r="B130" s="13" t="s">
        <v>227</v>
      </c>
      <c r="C130" s="13" t="s">
        <v>201</v>
      </c>
      <c r="D130" s="15" t="s">
        <v>167</v>
      </c>
      <c r="E130" s="15" t="s">
        <v>17</v>
      </c>
      <c r="F130" s="15" t="s">
        <v>11</v>
      </c>
      <c r="G130" s="15"/>
      <c r="H130" s="22" t="s">
        <v>205</v>
      </c>
      <c r="I130" s="17" t="s">
        <v>168</v>
      </c>
      <c r="J130" s="15"/>
      <c r="K130" s="15"/>
      <c r="L130" s="15"/>
      <c r="M130" s="15"/>
      <c r="N130" t="str">
        <f t="shared" si="4"/>
        <v>ActivityILTCourse(ST)-Events(CSOD)Allow Auto-Management of Waitlist‡</v>
      </c>
      <c r="O130" t="str">
        <f t="shared" si="3"/>
        <v>Time based</v>
      </c>
      <c r="P130" t="str">
        <f>VLOOKUP(N130,'[1]Sheet1 (2)'!$L:$M,2,0)</f>
        <v>Time based</v>
      </c>
    </row>
    <row r="131" spans="1:16" ht="48" hidden="1" x14ac:dyDescent="0.2">
      <c r="A131" s="13" t="s">
        <v>46</v>
      </c>
      <c r="B131" s="13" t="s">
        <v>227</v>
      </c>
      <c r="C131" s="13" t="s">
        <v>201</v>
      </c>
      <c r="D131" s="15" t="s">
        <v>169</v>
      </c>
      <c r="E131" s="15" t="s">
        <v>17</v>
      </c>
      <c r="F131" s="15" t="s">
        <v>18</v>
      </c>
      <c r="G131" s="15"/>
      <c r="H131" s="15" t="b">
        <v>1</v>
      </c>
      <c r="I131" s="17" t="s">
        <v>19</v>
      </c>
      <c r="J131" s="15"/>
      <c r="K131" s="15"/>
      <c r="L131" s="15"/>
      <c r="M131" s="15"/>
      <c r="N131" t="str">
        <f t="shared" si="4"/>
        <v>ActivityILTCourse(ST)-Events(CSOD)Auto-Register User upon Granting Waitlist‡</v>
      </c>
      <c r="O131" t="b">
        <f t="shared" ref="O131:O194" si="5">IF(H131="","",H131)</f>
        <v>1</v>
      </c>
      <c r="P131" t="b">
        <f>VLOOKUP(N131,'[1]Sheet1 (2)'!$L:$M,2,0)</f>
        <v>1</v>
      </c>
    </row>
    <row r="132" spans="1:16" hidden="1" x14ac:dyDescent="0.2">
      <c r="A132" s="13" t="s">
        <v>46</v>
      </c>
      <c r="B132" s="13" t="s">
        <v>227</v>
      </c>
      <c r="C132" s="13" t="s">
        <v>201</v>
      </c>
      <c r="D132" s="15" t="s">
        <v>113</v>
      </c>
      <c r="E132" s="15" t="s">
        <v>17</v>
      </c>
      <c r="F132" s="15" t="s">
        <v>206</v>
      </c>
      <c r="G132" s="15"/>
      <c r="H132" s="22" t="s">
        <v>207</v>
      </c>
      <c r="I132" s="15"/>
      <c r="J132" s="15" t="s">
        <v>115</v>
      </c>
      <c r="K132" s="15" t="s">
        <v>116</v>
      </c>
      <c r="L132" s="15"/>
      <c r="M132" s="15"/>
      <c r="N132" t="str">
        <f t="shared" si="4"/>
        <v>ActivityILTCourse(ST)-Events(CSOD)Training Hours</v>
      </c>
      <c r="O132" t="str">
        <f t="shared" si="5"/>
        <v>0000:00:00</v>
      </c>
      <c r="P132" t="str">
        <f>VLOOKUP(N132,'[1]Sheet1 (2)'!$L:$M,2,0)</f>
        <v>0000:00:00</v>
      </c>
    </row>
    <row r="133" spans="1:16" hidden="1" x14ac:dyDescent="0.2">
      <c r="A133" s="13" t="s">
        <v>46</v>
      </c>
      <c r="B133" s="13" t="s">
        <v>227</v>
      </c>
      <c r="C133" s="13" t="s">
        <v>201</v>
      </c>
      <c r="D133" s="15" t="s">
        <v>208</v>
      </c>
      <c r="E133" s="15" t="s">
        <v>17</v>
      </c>
      <c r="F133" s="15" t="s">
        <v>11</v>
      </c>
      <c r="G133" s="15">
        <v>5000</v>
      </c>
      <c r="H133" s="15"/>
      <c r="I133" s="15"/>
      <c r="J133" s="15" t="s">
        <v>118</v>
      </c>
      <c r="K133" s="15" t="s">
        <v>13</v>
      </c>
      <c r="L133" s="15">
        <v>4000</v>
      </c>
      <c r="M133" s="15"/>
      <c r="N133" t="str">
        <f t="shared" si="4"/>
        <v>ActivityILTCourse(ST)-Events(CSOD)Event Description</v>
      </c>
      <c r="O133" t="str">
        <f t="shared" si="5"/>
        <v/>
      </c>
      <c r="P133" t="str">
        <f>VLOOKUP(N133,'[1]Sheet1 (2)'!$L:$M,2,0)</f>
        <v/>
      </c>
    </row>
    <row r="134" spans="1:16" hidden="1" x14ac:dyDescent="0.2">
      <c r="A134" s="13" t="s">
        <v>46</v>
      </c>
      <c r="B134" s="13" t="s">
        <v>227</v>
      </c>
      <c r="C134" s="13" t="s">
        <v>201</v>
      </c>
      <c r="D134" s="15" t="s">
        <v>209</v>
      </c>
      <c r="E134" s="15" t="s">
        <v>17</v>
      </c>
      <c r="F134" s="15" t="s">
        <v>11</v>
      </c>
      <c r="G134" s="15">
        <v>3500</v>
      </c>
      <c r="H134" s="15"/>
      <c r="I134" s="15"/>
      <c r="J134" s="15"/>
      <c r="K134" s="15"/>
      <c r="L134" s="15"/>
      <c r="M134" s="15"/>
      <c r="N134" t="str">
        <f t="shared" si="4"/>
        <v>ActivityILTCourse(ST)-Events(CSOD)Objectives</v>
      </c>
      <c r="O134" t="str">
        <f t="shared" si="5"/>
        <v/>
      </c>
      <c r="P134" t="str">
        <f>VLOOKUP(N134,'[1]Sheet1 (2)'!$L:$M,2,0)</f>
        <v/>
      </c>
    </row>
    <row r="135" spans="1:16" s="21" customFormat="1" ht="48" hidden="1" x14ac:dyDescent="0.2">
      <c r="A135" s="23" t="s">
        <v>46</v>
      </c>
      <c r="B135" s="23" t="s">
        <v>227</v>
      </c>
      <c r="C135" s="23" t="s">
        <v>201</v>
      </c>
      <c r="D135" s="19" t="s">
        <v>61</v>
      </c>
      <c r="E135" s="19" t="s">
        <v>17</v>
      </c>
      <c r="F135" s="19" t="s">
        <v>11</v>
      </c>
      <c r="G135" s="19"/>
      <c r="H135" s="20" t="s">
        <v>298</v>
      </c>
      <c r="I135" s="19"/>
      <c r="J135" s="19" t="s">
        <v>112</v>
      </c>
      <c r="K135" s="19" t="s">
        <v>13</v>
      </c>
      <c r="L135" s="19"/>
      <c r="M135" s="19"/>
      <c r="N135" t="str">
        <f t="shared" ref="N135:N198" si="6">_xlfn.CONCAT(A135,C135,D135)</f>
        <v>ActivityILTCourse(ST)-Events(CSOD)Default Language</v>
      </c>
      <c r="O135" t="str">
        <f t="shared" si="5"/>
        <v>IF Language == "en-US" THEN LanguageID = 1   ELSE IF Language == "en-GB" THEN LanguageID = 2   ELSE IF Language == "fr-FR" THEN LanguageID = 13   ELSE IF Language == "es-MX" THEN LanguageID = 14   ELSE LanguageID = 1</v>
      </c>
      <c r="P135" t="str">
        <f>VLOOKUP(N135,'[1]Sheet1 (2)'!$L:$M,2,0)</f>
        <v/>
      </c>
    </row>
    <row r="136" spans="1:16" hidden="1" x14ac:dyDescent="0.2">
      <c r="A136" s="13" t="s">
        <v>46</v>
      </c>
      <c r="B136" s="13" t="s">
        <v>227</v>
      </c>
      <c r="C136" s="13" t="s">
        <v>201</v>
      </c>
      <c r="D136" s="15" t="s">
        <v>210</v>
      </c>
      <c r="E136" s="15" t="s">
        <v>17</v>
      </c>
      <c r="F136" s="15" t="s">
        <v>11</v>
      </c>
      <c r="G136" s="15"/>
      <c r="H136" s="15"/>
      <c r="I136" s="15"/>
      <c r="J136" s="15" t="s">
        <v>211</v>
      </c>
      <c r="K136" s="15" t="s">
        <v>13</v>
      </c>
      <c r="L136" s="15">
        <v>255</v>
      </c>
      <c r="M136" s="15"/>
      <c r="N136" t="str">
        <f t="shared" si="6"/>
        <v>ActivityILTCourse(ST)-Events(CSOD)Competency IDs</v>
      </c>
      <c r="O136" t="str">
        <f t="shared" si="5"/>
        <v/>
      </c>
      <c r="P136" t="str">
        <f>VLOOKUP(N136,'[1]Sheet1 (2)'!$L:$M,2,0)</f>
        <v/>
      </c>
    </row>
    <row r="137" spans="1:16" hidden="1" x14ac:dyDescent="0.2">
      <c r="A137" s="13" t="s">
        <v>46</v>
      </c>
      <c r="B137" s="13" t="s">
        <v>227</v>
      </c>
      <c r="C137" s="13" t="s">
        <v>201</v>
      </c>
      <c r="D137" s="15" t="s">
        <v>212</v>
      </c>
      <c r="E137" s="15" t="s">
        <v>17</v>
      </c>
      <c r="F137" s="15" t="s">
        <v>11</v>
      </c>
      <c r="G137" s="15">
        <v>2000</v>
      </c>
      <c r="H137" s="15"/>
      <c r="I137" s="15"/>
      <c r="J137" s="15" t="s">
        <v>212</v>
      </c>
      <c r="K137" s="15" t="s">
        <v>13</v>
      </c>
      <c r="L137" s="15">
        <v>255</v>
      </c>
      <c r="M137" s="15"/>
      <c r="N137" t="str">
        <f t="shared" si="6"/>
        <v>ActivityILTCourse(ST)-Events(CSOD)Skills</v>
      </c>
      <c r="O137" t="str">
        <f t="shared" si="5"/>
        <v/>
      </c>
      <c r="P137" t="str">
        <f>VLOOKUP(N137,'[1]Sheet1 (2)'!$L:$M,2,0)</f>
        <v/>
      </c>
    </row>
    <row r="138" spans="1:16" hidden="1" x14ac:dyDescent="0.2">
      <c r="A138" s="13" t="s">
        <v>46</v>
      </c>
      <c r="B138" s="13" t="s">
        <v>227</v>
      </c>
      <c r="C138" s="13" t="s">
        <v>201</v>
      </c>
      <c r="D138" s="15" t="s">
        <v>71</v>
      </c>
      <c r="E138" s="15" t="s">
        <v>17</v>
      </c>
      <c r="F138" s="15" t="s">
        <v>11</v>
      </c>
      <c r="G138" s="15"/>
      <c r="H138" s="15"/>
      <c r="I138" s="15"/>
      <c r="J138" s="15"/>
      <c r="K138" s="15"/>
      <c r="L138" s="15"/>
      <c r="M138" s="15"/>
      <c r="N138" t="str">
        <f t="shared" si="6"/>
        <v>ActivityILTCourse(ST)-Events(CSOD)Available Languages</v>
      </c>
      <c r="O138" t="str">
        <f t="shared" si="5"/>
        <v/>
      </c>
      <c r="P138" t="e">
        <f>VLOOKUP(N138,'[1]Sheet1 (2)'!$L:$M,2,0)</f>
        <v>#N/A</v>
      </c>
    </row>
    <row r="139" spans="1:16" hidden="1" x14ac:dyDescent="0.2">
      <c r="A139" s="13" t="s">
        <v>46</v>
      </c>
      <c r="B139" s="13" t="s">
        <v>227</v>
      </c>
      <c r="C139" s="13" t="s">
        <v>201</v>
      </c>
      <c r="D139" s="15" t="s">
        <v>192</v>
      </c>
      <c r="E139" s="15" t="s">
        <v>17</v>
      </c>
      <c r="F139" s="15" t="s">
        <v>11</v>
      </c>
      <c r="G139" s="15">
        <v>128</v>
      </c>
      <c r="H139" s="15" t="s">
        <v>68</v>
      </c>
      <c r="I139" s="15"/>
      <c r="J139" s="15" t="s">
        <v>36</v>
      </c>
      <c r="K139" s="15" t="s">
        <v>13</v>
      </c>
      <c r="L139" s="15">
        <v>1024</v>
      </c>
      <c r="M139" s="15"/>
      <c r="N139" t="str">
        <f t="shared" si="6"/>
        <v>ActivityILTCourse(ST)-Events(CSOD)Training Contact</v>
      </c>
      <c r="O139" t="str">
        <f t="shared" si="5"/>
        <v>TRN1000194</v>
      </c>
      <c r="P139" t="e">
        <f>VLOOKUP(N139,'[1]Sheet1 (2)'!$L:$M,2,0)</f>
        <v>#N/A</v>
      </c>
    </row>
    <row r="140" spans="1:16" hidden="1" x14ac:dyDescent="0.2">
      <c r="A140" s="13" t="s">
        <v>46</v>
      </c>
      <c r="B140" s="13" t="s">
        <v>227</v>
      </c>
      <c r="C140" s="13" t="s">
        <v>201</v>
      </c>
      <c r="D140" s="15" t="s">
        <v>41</v>
      </c>
      <c r="E140" s="15" t="s">
        <v>17</v>
      </c>
      <c r="F140" s="15" t="s">
        <v>11</v>
      </c>
      <c r="G140" s="15">
        <v>128</v>
      </c>
      <c r="H140" s="15"/>
      <c r="I140" s="15"/>
      <c r="J140" s="15"/>
      <c r="K140" s="15"/>
      <c r="L140" s="15"/>
      <c r="M140" s="15"/>
      <c r="N140" t="str">
        <f t="shared" si="6"/>
        <v>ActivityILTCourse(ST)-Events(CSOD)Created/Modified By</v>
      </c>
      <c r="O140" t="str">
        <f t="shared" si="5"/>
        <v/>
      </c>
      <c r="P140" t="e">
        <f>VLOOKUP(N140,'[1]Sheet1 (2)'!$L:$M,2,0)</f>
        <v>#N/A</v>
      </c>
    </row>
    <row r="141" spans="1:16" s="4" customFormat="1" ht="48" hidden="1" x14ac:dyDescent="0.2">
      <c r="A141" s="9" t="s">
        <v>46</v>
      </c>
      <c r="B141" s="9" t="s">
        <v>227</v>
      </c>
      <c r="C141" s="9" t="s">
        <v>201</v>
      </c>
      <c r="D141" s="26" t="s">
        <v>213</v>
      </c>
      <c r="E141" s="26" t="s">
        <v>17</v>
      </c>
      <c r="F141" s="26" t="s">
        <v>18</v>
      </c>
      <c r="G141" s="26"/>
      <c r="H141" s="26" t="b">
        <v>1</v>
      </c>
      <c r="I141" s="27" t="s">
        <v>19</v>
      </c>
      <c r="J141" s="26"/>
      <c r="K141" s="26"/>
      <c r="L141" s="26"/>
      <c r="M141" s="26"/>
      <c r="N141" t="str">
        <f t="shared" si="6"/>
        <v>ActivityILTCourse(ST)-Events(CSOD)Allow Users to Attend Multiple Sessions </v>
      </c>
      <c r="O141" t="b">
        <f t="shared" si="5"/>
        <v>1</v>
      </c>
      <c r="P141" t="b">
        <f>VLOOKUP(N141,'[1]Sheet1 (2)'!$L:$M,2,0)</f>
        <v>1</v>
      </c>
    </row>
    <row r="142" spans="1:16" ht="48" hidden="1" x14ac:dyDescent="0.2">
      <c r="A142" s="13" t="s">
        <v>46</v>
      </c>
      <c r="B142" s="13" t="s">
        <v>227</v>
      </c>
      <c r="C142" s="13" t="s">
        <v>201</v>
      </c>
      <c r="D142" s="15" t="s">
        <v>214</v>
      </c>
      <c r="E142" s="15" t="s">
        <v>17</v>
      </c>
      <c r="F142" s="15" t="s">
        <v>18</v>
      </c>
      <c r="G142" s="15"/>
      <c r="H142" s="15" t="b">
        <v>1</v>
      </c>
      <c r="I142" s="17" t="s">
        <v>19</v>
      </c>
      <c r="J142" s="15" t="s">
        <v>215</v>
      </c>
      <c r="K142" s="15" t="s">
        <v>25</v>
      </c>
      <c r="L142" s="15"/>
      <c r="M142" s="15" t="s">
        <v>26</v>
      </c>
      <c r="N142" t="str">
        <f t="shared" si="6"/>
        <v>ActivityILTCourse(ST)-Events(CSOD)Allow Interest Tracking</v>
      </c>
      <c r="O142" t="b">
        <f t="shared" si="5"/>
        <v>1</v>
      </c>
      <c r="P142" t="b">
        <f>VLOOKUP(N142,'[1]Sheet1 (2)'!$L:$M,2,0)</f>
        <v>1</v>
      </c>
    </row>
    <row r="143" spans="1:16" hidden="1" x14ac:dyDescent="0.2">
      <c r="A143" s="13" t="s">
        <v>46</v>
      </c>
      <c r="B143" s="13" t="s">
        <v>227</v>
      </c>
      <c r="C143" s="13" t="s">
        <v>201</v>
      </c>
      <c r="D143" s="15" t="s">
        <v>70</v>
      </c>
      <c r="E143" s="15" t="s">
        <v>17</v>
      </c>
      <c r="F143" s="15" t="s">
        <v>11</v>
      </c>
      <c r="G143" s="15">
        <v>1000</v>
      </c>
      <c r="H143" s="15"/>
      <c r="I143" s="15"/>
      <c r="J143" s="15"/>
      <c r="K143" s="15"/>
      <c r="L143" s="15"/>
      <c r="M143" s="15"/>
      <c r="N143" t="str">
        <f t="shared" si="6"/>
        <v>ActivityILTCourse(ST)-Events(CSOD)Keywords</v>
      </c>
      <c r="O143" t="str">
        <f t="shared" si="5"/>
        <v/>
      </c>
      <c r="P143" t="e">
        <f>VLOOKUP(N143,'[1]Sheet1 (2)'!$L:$M,2,0)</f>
        <v>#N/A</v>
      </c>
    </row>
    <row r="144" spans="1:16" hidden="1" x14ac:dyDescent="0.2">
      <c r="A144" s="13" t="s">
        <v>46</v>
      </c>
      <c r="B144" s="13" t="s">
        <v>227</v>
      </c>
      <c r="C144" s="13" t="s">
        <v>201</v>
      </c>
      <c r="D144" s="15" t="s">
        <v>216</v>
      </c>
      <c r="E144" s="15" t="s">
        <v>17</v>
      </c>
      <c r="F144" s="15" t="s">
        <v>96</v>
      </c>
      <c r="G144" s="15"/>
      <c r="H144" s="15">
        <v>0</v>
      </c>
      <c r="I144" s="15"/>
      <c r="J144" s="15"/>
      <c r="K144" s="15"/>
      <c r="L144" s="15"/>
      <c r="M144" s="15"/>
      <c r="N144" t="str">
        <f t="shared" si="6"/>
        <v>ActivityILTCourse(ST)-Events(CSOD)Provide cost of Event</v>
      </c>
      <c r="O144">
        <f t="shared" si="5"/>
        <v>0</v>
      </c>
      <c r="P144">
        <f>VLOOKUP(N144,'[1]Sheet1 (2)'!$L:$M,2,0)</f>
        <v>0</v>
      </c>
    </row>
    <row r="145" spans="1:16" hidden="1" x14ac:dyDescent="0.2">
      <c r="A145" s="13" t="s">
        <v>46</v>
      </c>
      <c r="B145" s="13" t="s">
        <v>227</v>
      </c>
      <c r="C145" s="13" t="s">
        <v>201</v>
      </c>
      <c r="D145" s="15" t="s">
        <v>177</v>
      </c>
      <c r="E145" s="15" t="s">
        <v>17</v>
      </c>
      <c r="F145" s="15" t="s">
        <v>11</v>
      </c>
      <c r="G145" s="15">
        <v>10</v>
      </c>
      <c r="H145" s="15" t="s">
        <v>217</v>
      </c>
      <c r="I145" s="15"/>
      <c r="J145" s="15"/>
      <c r="K145" s="15"/>
      <c r="L145" s="15"/>
      <c r="M145" s="15"/>
      <c r="N145" t="str">
        <f t="shared" si="6"/>
        <v>ActivityILTCourse(ST)-Events(CSOD)Currency Code</v>
      </c>
      <c r="O145" t="str">
        <f t="shared" si="5"/>
        <v>USD</v>
      </c>
      <c r="P145" t="str">
        <f>VLOOKUP(N145,'[1]Sheet1 (2)'!$L:$M,2,0)</f>
        <v/>
      </c>
    </row>
    <row r="146" spans="1:16" ht="48" hidden="1" x14ac:dyDescent="0.2">
      <c r="A146" s="13" t="s">
        <v>46</v>
      </c>
      <c r="B146" s="13" t="s">
        <v>227</v>
      </c>
      <c r="C146" s="13" t="s">
        <v>201</v>
      </c>
      <c r="D146" s="15" t="s">
        <v>218</v>
      </c>
      <c r="E146" s="15" t="s">
        <v>17</v>
      </c>
      <c r="F146" s="15" t="s">
        <v>18</v>
      </c>
      <c r="G146" s="15"/>
      <c r="H146" s="15" t="b">
        <v>1</v>
      </c>
      <c r="I146" s="17" t="s">
        <v>19</v>
      </c>
      <c r="J146" s="15"/>
      <c r="K146" s="15"/>
      <c r="L146" s="15"/>
      <c r="M146" s="15"/>
      <c r="N146" t="str">
        <f t="shared" si="6"/>
        <v>ActivityILTCourse(ST)-Events(CSOD)Copy Availability to New Sessions</v>
      </c>
      <c r="O146" t="b">
        <f t="shared" si="5"/>
        <v>1</v>
      </c>
      <c r="P146" t="b">
        <f>VLOOKUP(N146,'[1]Sheet1 (2)'!$L:$M,2,0)</f>
        <v>1</v>
      </c>
    </row>
    <row r="147" spans="1:16" ht="48" hidden="1" x14ac:dyDescent="0.2">
      <c r="A147" s="13" t="s">
        <v>46</v>
      </c>
      <c r="B147" s="13" t="s">
        <v>227</v>
      </c>
      <c r="C147" s="13" t="s">
        <v>201</v>
      </c>
      <c r="D147" s="15" t="s">
        <v>72</v>
      </c>
      <c r="E147" s="15" t="s">
        <v>17</v>
      </c>
      <c r="F147" s="15" t="s">
        <v>18</v>
      </c>
      <c r="G147" s="15"/>
      <c r="H147" s="15"/>
      <c r="I147" s="17" t="s">
        <v>19</v>
      </c>
      <c r="J147" s="15"/>
      <c r="K147" s="15"/>
      <c r="L147" s="15"/>
      <c r="M147" s="15"/>
      <c r="N147" t="str">
        <f t="shared" si="6"/>
        <v>ActivityILTCourse(ST)-Events(CSOD)Availability to All Users</v>
      </c>
      <c r="O147" t="str">
        <f t="shared" si="5"/>
        <v/>
      </c>
      <c r="P147" t="e">
        <f>VLOOKUP(N147,'[1]Sheet1 (2)'!$L:$M,2,0)</f>
        <v>#N/A</v>
      </c>
    </row>
    <row r="148" spans="1:16" hidden="1" x14ac:dyDescent="0.2">
      <c r="A148" s="13" t="s">
        <v>46</v>
      </c>
      <c r="B148" s="13" t="s">
        <v>227</v>
      </c>
      <c r="C148" s="13" t="s">
        <v>201</v>
      </c>
      <c r="D148" s="15" t="s">
        <v>73</v>
      </c>
      <c r="E148" s="15" t="s">
        <v>17</v>
      </c>
      <c r="F148" s="15" t="s">
        <v>11</v>
      </c>
      <c r="G148" s="15">
        <v>200</v>
      </c>
      <c r="H148" s="15"/>
      <c r="I148" s="15"/>
      <c r="J148" s="15"/>
      <c r="K148" s="15"/>
      <c r="L148" s="15"/>
      <c r="M148" s="15"/>
      <c r="N148" t="str">
        <f t="shared" si="6"/>
        <v>ActivityILTCourse(ST)-Events(CSOD)Availability to Specific Users</v>
      </c>
      <c r="O148" t="str">
        <f t="shared" si="5"/>
        <v/>
      </c>
      <c r="P148" t="e">
        <f>VLOOKUP(N148,'[1]Sheet1 (2)'!$L:$M,2,0)</f>
        <v>#N/A</v>
      </c>
    </row>
    <row r="149" spans="1:16" hidden="1" x14ac:dyDescent="0.2">
      <c r="A149" s="13" t="s">
        <v>46</v>
      </c>
      <c r="B149" s="13" t="s">
        <v>227</v>
      </c>
      <c r="C149" s="13" t="s">
        <v>201</v>
      </c>
      <c r="D149" s="15" t="s">
        <v>74</v>
      </c>
      <c r="E149" s="15" t="s">
        <v>17</v>
      </c>
      <c r="F149" s="15" t="s">
        <v>11</v>
      </c>
      <c r="G149" s="15">
        <v>200</v>
      </c>
      <c r="H149" s="15"/>
      <c r="I149" s="15"/>
      <c r="J149" s="15"/>
      <c r="K149" s="15"/>
      <c r="L149" s="15"/>
      <c r="M149" s="15"/>
      <c r="N149" t="str">
        <f t="shared" si="6"/>
        <v>ActivityILTCourse(ST)-Events(CSOD)Availability to OU‡</v>
      </c>
      <c r="O149" t="str">
        <f t="shared" si="5"/>
        <v/>
      </c>
      <c r="P149" t="e">
        <f>VLOOKUP(N149,'[1]Sheet1 (2)'!$L:$M,2,0)</f>
        <v>#N/A</v>
      </c>
    </row>
    <row r="150" spans="1:16" hidden="1" x14ac:dyDescent="0.2">
      <c r="A150" s="13" t="s">
        <v>46</v>
      </c>
      <c r="B150" s="13" t="s">
        <v>227</v>
      </c>
      <c r="C150" s="13" t="s">
        <v>201</v>
      </c>
      <c r="D150" s="15" t="s">
        <v>75</v>
      </c>
      <c r="E150" s="15" t="s">
        <v>17</v>
      </c>
      <c r="F150" s="15" t="s">
        <v>11</v>
      </c>
      <c r="G150" s="15">
        <v>200</v>
      </c>
      <c r="H150" s="15"/>
      <c r="I150" s="15"/>
      <c r="J150" s="15"/>
      <c r="K150" s="15"/>
      <c r="L150" s="15"/>
      <c r="M150" s="15"/>
      <c r="N150" t="str">
        <f t="shared" si="6"/>
        <v>ActivityILTCourse(ST)-Events(CSOD)Availability OU Type</v>
      </c>
      <c r="O150" t="str">
        <f t="shared" si="5"/>
        <v/>
      </c>
      <c r="P150" t="e">
        <f>VLOOKUP(N150,'[1]Sheet1 (2)'!$L:$M,2,0)</f>
        <v>#N/A</v>
      </c>
    </row>
    <row r="151" spans="1:16" ht="48" hidden="1" x14ac:dyDescent="0.2">
      <c r="A151" s="13" t="s">
        <v>46</v>
      </c>
      <c r="B151" s="13" t="s">
        <v>227</v>
      </c>
      <c r="C151" s="13" t="s">
        <v>201</v>
      </c>
      <c r="D151" s="15" t="s">
        <v>76</v>
      </c>
      <c r="E151" s="15" t="s">
        <v>17</v>
      </c>
      <c r="F151" s="15" t="s">
        <v>18</v>
      </c>
      <c r="G151" s="15"/>
      <c r="H151" s="15" t="b">
        <v>0</v>
      </c>
      <c r="I151" s="17" t="s">
        <v>19</v>
      </c>
      <c r="J151" s="15"/>
      <c r="K151" s="15"/>
      <c r="L151" s="15"/>
      <c r="M151" s="15"/>
      <c r="N151" t="str">
        <f t="shared" si="6"/>
        <v>ActivityILTCourse(ST)-Events(CSOD)Register Upon Approval</v>
      </c>
      <c r="O151" t="b">
        <f t="shared" si="5"/>
        <v>0</v>
      </c>
      <c r="P151" t="e">
        <f>VLOOKUP(N151,'[1]Sheet1 (2)'!$L:$M,2,0)</f>
        <v>#N/A</v>
      </c>
    </row>
    <row r="152" spans="1:16" ht="48" hidden="1" x14ac:dyDescent="0.2">
      <c r="A152" s="13" t="s">
        <v>46</v>
      </c>
      <c r="B152" s="13" t="s">
        <v>227</v>
      </c>
      <c r="C152" s="13" t="s">
        <v>201</v>
      </c>
      <c r="D152" s="15" t="s">
        <v>77</v>
      </c>
      <c r="E152" s="15" t="s">
        <v>17</v>
      </c>
      <c r="F152" s="15" t="s">
        <v>18</v>
      </c>
      <c r="G152" s="15"/>
      <c r="H152" s="15" t="b">
        <v>0</v>
      </c>
      <c r="I152" s="17" t="s">
        <v>19</v>
      </c>
      <c r="J152" s="15"/>
      <c r="K152" s="15"/>
      <c r="L152" s="15"/>
      <c r="M152" s="15"/>
      <c r="N152" t="str">
        <f t="shared" si="6"/>
        <v>ActivityILTCourse(ST)-Events(CSOD)Pre-Approved</v>
      </c>
      <c r="O152" t="b">
        <f t="shared" si="5"/>
        <v>0</v>
      </c>
      <c r="P152" t="e">
        <f>VLOOKUP(N152,'[1]Sheet1 (2)'!$L:$M,2,0)</f>
        <v>#N/A</v>
      </c>
    </row>
    <row r="153" spans="1:16" ht="48" hidden="1" x14ac:dyDescent="0.2">
      <c r="A153" s="13" t="s">
        <v>46</v>
      </c>
      <c r="B153" s="13" t="s">
        <v>227</v>
      </c>
      <c r="C153" s="13" t="s">
        <v>201</v>
      </c>
      <c r="D153" s="15" t="s">
        <v>125</v>
      </c>
      <c r="E153" s="15" t="s">
        <v>17</v>
      </c>
      <c r="F153" s="15" t="s">
        <v>18</v>
      </c>
      <c r="G153" s="15"/>
      <c r="H153" s="15" t="b">
        <v>0</v>
      </c>
      <c r="I153" s="17" t="s">
        <v>19</v>
      </c>
      <c r="J153" s="15"/>
      <c r="K153" s="15"/>
      <c r="L153" s="15"/>
      <c r="M153" s="15"/>
      <c r="N153" t="str">
        <f t="shared" si="6"/>
        <v>ActivityILTCourse(ST)-Events(CSOD)Include Subordinates</v>
      </c>
      <c r="O153" t="b">
        <f t="shared" si="5"/>
        <v>0</v>
      </c>
      <c r="P153" t="e">
        <f>VLOOKUP(N153,'[1]Sheet1 (2)'!$L:$M,2,0)</f>
        <v>#N/A</v>
      </c>
    </row>
    <row r="154" spans="1:16" hidden="1" x14ac:dyDescent="0.2">
      <c r="A154" s="13" t="s">
        <v>46</v>
      </c>
      <c r="B154" s="13" t="s">
        <v>227</v>
      </c>
      <c r="C154" s="13" t="s">
        <v>201</v>
      </c>
      <c r="D154" s="15" t="s">
        <v>162</v>
      </c>
      <c r="E154" s="15" t="s">
        <v>17</v>
      </c>
      <c r="F154" s="15" t="s">
        <v>96</v>
      </c>
      <c r="G154" s="15">
        <v>26000</v>
      </c>
      <c r="H154" s="15">
        <v>0</v>
      </c>
      <c r="I154" s="15"/>
      <c r="J154" s="15"/>
      <c r="K154" s="15"/>
      <c r="L154" s="15"/>
      <c r="M154" s="15"/>
      <c r="N154" t="str">
        <f t="shared" si="6"/>
        <v>ActivityILTCourse(ST)-Events(CSOD)Registration Deadline</v>
      </c>
      <c r="O154">
        <f t="shared" si="5"/>
        <v>0</v>
      </c>
      <c r="P154" t="e">
        <f>VLOOKUP(N154,'[1]Sheet1 (2)'!$L:$M,2,0)</f>
        <v>#N/A</v>
      </c>
    </row>
    <row r="155" spans="1:16" hidden="1" x14ac:dyDescent="0.2">
      <c r="A155" s="13" t="s">
        <v>46</v>
      </c>
      <c r="B155" s="13" t="s">
        <v>227</v>
      </c>
      <c r="C155" s="13" t="s">
        <v>201</v>
      </c>
      <c r="D155" s="15" t="s">
        <v>163</v>
      </c>
      <c r="E155" s="15" t="s">
        <v>17</v>
      </c>
      <c r="F155" s="15" t="s">
        <v>11</v>
      </c>
      <c r="G155" s="15"/>
      <c r="H155" s="22" t="s">
        <v>219</v>
      </c>
      <c r="I155" s="17" t="s">
        <v>164</v>
      </c>
      <c r="J155" s="15"/>
      <c r="K155" s="15"/>
      <c r="L155" s="15"/>
      <c r="M155" s="15"/>
      <c r="N155" t="str">
        <f t="shared" si="6"/>
        <v>ActivityILTCourse(ST)-Events(CSOD)Registration Deadline - Before/After</v>
      </c>
      <c r="O155" t="str">
        <f t="shared" si="5"/>
        <v>Before</v>
      </c>
      <c r="P155" t="str">
        <f>VLOOKUP(N155,'[1]Sheet1 (2)'!$L:$M,2,0)</f>
        <v>Before</v>
      </c>
    </row>
    <row r="156" spans="1:16" hidden="1" x14ac:dyDescent="0.2">
      <c r="A156" s="13" t="s">
        <v>46</v>
      </c>
      <c r="B156" s="13" t="s">
        <v>227</v>
      </c>
      <c r="C156" s="13" t="s">
        <v>201</v>
      </c>
      <c r="D156" s="15" t="s">
        <v>170</v>
      </c>
      <c r="E156" s="15" t="s">
        <v>17</v>
      </c>
      <c r="F156" s="15" t="s">
        <v>96</v>
      </c>
      <c r="G156" s="15">
        <v>9999</v>
      </c>
      <c r="H156" s="15">
        <v>0</v>
      </c>
      <c r="I156" s="15"/>
      <c r="J156" s="15" t="s">
        <v>171</v>
      </c>
      <c r="K156" s="15" t="s">
        <v>172</v>
      </c>
      <c r="L156" s="15"/>
      <c r="M156" s="15"/>
      <c r="N156" t="str">
        <f t="shared" si="6"/>
        <v>ActivityILTCourse(ST)-Events(CSOD)Minimum Users</v>
      </c>
      <c r="O156">
        <f t="shared" si="5"/>
        <v>0</v>
      </c>
      <c r="P156">
        <f>VLOOKUP(N156,'[1]Sheet1 (2)'!$L:$M,2,0)</f>
        <v>0</v>
      </c>
    </row>
    <row r="157" spans="1:16" hidden="1" x14ac:dyDescent="0.2">
      <c r="A157" s="13" t="s">
        <v>46</v>
      </c>
      <c r="B157" s="13" t="s">
        <v>227</v>
      </c>
      <c r="C157" s="13" t="s">
        <v>201</v>
      </c>
      <c r="D157" s="15" t="s">
        <v>173</v>
      </c>
      <c r="E157" s="15" t="s">
        <v>17</v>
      </c>
      <c r="F157" s="15" t="s">
        <v>96</v>
      </c>
      <c r="G157" s="15">
        <v>9999</v>
      </c>
      <c r="H157" s="15">
        <v>75</v>
      </c>
      <c r="I157" s="15"/>
      <c r="J157" s="15" t="s">
        <v>174</v>
      </c>
      <c r="K157" s="15" t="s">
        <v>172</v>
      </c>
      <c r="L157" s="15"/>
      <c r="M157" s="15"/>
      <c r="N157" t="str">
        <f t="shared" si="6"/>
        <v>ActivityILTCourse(ST)-Events(CSOD)Maximum Users</v>
      </c>
      <c r="O157">
        <f t="shared" si="5"/>
        <v>75</v>
      </c>
      <c r="P157">
        <f>VLOOKUP(N157,'[1]Sheet1 (2)'!$L:$M,2,0)</f>
        <v>75</v>
      </c>
    </row>
    <row r="158" spans="1:16" hidden="1" x14ac:dyDescent="0.2">
      <c r="A158" s="13" t="s">
        <v>46</v>
      </c>
      <c r="B158" s="13" t="s">
        <v>227</v>
      </c>
      <c r="C158" s="13" t="s">
        <v>201</v>
      </c>
      <c r="D158" s="15" t="s">
        <v>220</v>
      </c>
      <c r="E158" s="15" t="s">
        <v>17</v>
      </c>
      <c r="F158" s="15" t="s">
        <v>11</v>
      </c>
      <c r="G158" s="15">
        <v>4000</v>
      </c>
      <c r="H158" s="15"/>
      <c r="I158" s="15"/>
      <c r="J158" s="15" t="s">
        <v>154</v>
      </c>
      <c r="K158" s="15" t="s">
        <v>13</v>
      </c>
      <c r="L158" s="15">
        <v>50</v>
      </c>
      <c r="M158" s="15"/>
      <c r="N158" t="str">
        <f t="shared" si="6"/>
        <v>ActivityILTCourse(ST)-Events(CSOD)Preferred Instructors</v>
      </c>
      <c r="O158" t="str">
        <f t="shared" si="5"/>
        <v/>
      </c>
      <c r="P158" t="str">
        <f>VLOOKUP(N158,'[1]Sheet1 (2)'!$L:$M,2,0)</f>
        <v/>
      </c>
    </row>
    <row r="159" spans="1:16" hidden="1" x14ac:dyDescent="0.2">
      <c r="A159" s="13" t="s">
        <v>46</v>
      </c>
      <c r="B159" s="13" t="s">
        <v>227</v>
      </c>
      <c r="C159" s="13" t="s">
        <v>201</v>
      </c>
      <c r="D159" s="15" t="s">
        <v>179</v>
      </c>
      <c r="E159" s="15" t="s">
        <v>17</v>
      </c>
      <c r="F159" s="15" t="s">
        <v>96</v>
      </c>
      <c r="G159" s="15">
        <v>9999999</v>
      </c>
      <c r="H159" s="15">
        <v>0</v>
      </c>
      <c r="I159" s="15"/>
      <c r="J159" s="15"/>
      <c r="K159" s="15"/>
      <c r="L159" s="15"/>
      <c r="M159" s="15"/>
      <c r="N159" t="str">
        <f t="shared" si="6"/>
        <v>ActivityILTCourse(ST)-Events(CSOD)No-show Penalty – Monetary</v>
      </c>
      <c r="O159">
        <f t="shared" si="5"/>
        <v>0</v>
      </c>
      <c r="P159">
        <f>VLOOKUP(N159,'[1]Sheet1 (2)'!$L:$M,2,0)</f>
        <v>0</v>
      </c>
    </row>
    <row r="160" spans="1:16" hidden="1" x14ac:dyDescent="0.2">
      <c r="A160" s="13" t="s">
        <v>46</v>
      </c>
      <c r="B160" s="13" t="s">
        <v>227</v>
      </c>
      <c r="C160" s="13" t="s">
        <v>201</v>
      </c>
      <c r="D160" s="15" t="s">
        <v>180</v>
      </c>
      <c r="E160" s="15" t="s">
        <v>17</v>
      </c>
      <c r="F160" s="15" t="s">
        <v>96</v>
      </c>
      <c r="G160" s="15">
        <v>9999999</v>
      </c>
      <c r="H160" s="15">
        <v>0</v>
      </c>
      <c r="I160" s="15"/>
      <c r="J160" s="15"/>
      <c r="K160" s="15"/>
      <c r="L160" s="15"/>
      <c r="M160" s="15"/>
      <c r="N160" t="str">
        <f t="shared" si="6"/>
        <v>ActivityILTCourse(ST)-Events(CSOD)No-show Penalty – Training Units</v>
      </c>
      <c r="O160">
        <f t="shared" si="5"/>
        <v>0</v>
      </c>
      <c r="P160">
        <f>VLOOKUP(N160,'[1]Sheet1 (2)'!$L:$M,2,0)</f>
        <v>0</v>
      </c>
    </row>
    <row r="161" spans="1:16" ht="48" hidden="1" x14ac:dyDescent="0.2">
      <c r="A161" s="13" t="s">
        <v>46</v>
      </c>
      <c r="B161" s="13" t="s">
        <v>227</v>
      </c>
      <c r="C161" s="13" t="s">
        <v>201</v>
      </c>
      <c r="D161" s="15" t="s">
        <v>181</v>
      </c>
      <c r="E161" s="15" t="s">
        <v>17</v>
      </c>
      <c r="F161" s="15" t="s">
        <v>18</v>
      </c>
      <c r="G161" s="15"/>
      <c r="H161" s="15" t="b">
        <v>0</v>
      </c>
      <c r="I161" s="17" t="s">
        <v>19</v>
      </c>
      <c r="J161" s="15"/>
      <c r="K161" s="15"/>
      <c r="L161" s="15"/>
      <c r="M161" s="15"/>
      <c r="N161" t="str">
        <f t="shared" si="6"/>
        <v>ActivityILTCourse(ST)-Events(CSOD)Restrict Withdraw from Session</v>
      </c>
      <c r="O161" t="b">
        <f t="shared" si="5"/>
        <v>0</v>
      </c>
      <c r="P161" t="b">
        <f>VLOOKUP(N161,'[1]Sheet1 (2)'!$L:$M,2,0)</f>
        <v>0</v>
      </c>
    </row>
    <row r="162" spans="1:16" hidden="1" x14ac:dyDescent="0.2">
      <c r="A162" s="13" t="s">
        <v>46</v>
      </c>
      <c r="B162" s="13" t="s">
        <v>227</v>
      </c>
      <c r="C162" s="13" t="s">
        <v>201</v>
      </c>
      <c r="D162" s="15" t="s">
        <v>182</v>
      </c>
      <c r="E162" s="15" t="s">
        <v>17</v>
      </c>
      <c r="F162" s="15" t="s">
        <v>11</v>
      </c>
      <c r="G162" s="15"/>
      <c r="H162" s="15"/>
      <c r="I162" s="15"/>
      <c r="J162" s="15"/>
      <c r="K162" s="15"/>
      <c r="L162" s="15"/>
      <c r="M162" s="15"/>
      <c r="N162" t="str">
        <f t="shared" si="6"/>
        <v>ActivityILTCourse(ST)-Events(CSOD)Refund Type</v>
      </c>
      <c r="O162" t="str">
        <f t="shared" si="5"/>
        <v/>
      </c>
      <c r="P162" t="str">
        <f>VLOOKUP(N162,'[1]Sheet1 (2)'!$L:$M,2,0)</f>
        <v/>
      </c>
    </row>
    <row r="163" spans="1:16" hidden="1" x14ac:dyDescent="0.2">
      <c r="A163" s="13" t="s">
        <v>46</v>
      </c>
      <c r="B163" s="13" t="s">
        <v>227</v>
      </c>
      <c r="C163" s="13" t="s">
        <v>201</v>
      </c>
      <c r="D163" s="15" t="s">
        <v>184</v>
      </c>
      <c r="E163" s="15" t="s">
        <v>17</v>
      </c>
      <c r="F163" s="15" t="s">
        <v>96</v>
      </c>
      <c r="G163" s="15">
        <v>100</v>
      </c>
      <c r="H163" s="15">
        <v>0</v>
      </c>
      <c r="I163" s="15"/>
      <c r="J163" s="15"/>
      <c r="K163" s="15"/>
      <c r="L163" s="15"/>
      <c r="M163" s="15"/>
      <c r="N163" t="str">
        <f t="shared" si="6"/>
        <v>ActivityILTCourse(ST)-Events(CSOD)Refund Percentage‡</v>
      </c>
      <c r="O163">
        <f t="shared" si="5"/>
        <v>0</v>
      </c>
      <c r="P163">
        <f>VLOOKUP(N163,'[1]Sheet1 (2)'!$L:$M,2,0)</f>
        <v>0</v>
      </c>
    </row>
    <row r="164" spans="1:16" hidden="1" x14ac:dyDescent="0.2">
      <c r="A164" s="13" t="s">
        <v>46</v>
      </c>
      <c r="B164" s="13" t="s">
        <v>227</v>
      </c>
      <c r="C164" s="13" t="s">
        <v>201</v>
      </c>
      <c r="D164" s="15" t="s">
        <v>185</v>
      </c>
      <c r="E164" s="15" t="s">
        <v>17</v>
      </c>
      <c r="F164" s="15" t="s">
        <v>96</v>
      </c>
      <c r="G164" s="15"/>
      <c r="H164" s="15">
        <v>0</v>
      </c>
      <c r="I164" s="15"/>
      <c r="J164" s="15"/>
      <c r="K164" s="15"/>
      <c r="L164" s="15"/>
      <c r="M164" s="15"/>
      <c r="N164" t="str">
        <f t="shared" si="6"/>
        <v>ActivityILTCourse(ST)-Events(CSOD)Refund Amount‡</v>
      </c>
      <c r="O164">
        <f t="shared" si="5"/>
        <v>0</v>
      </c>
      <c r="P164">
        <f>VLOOKUP(N164,'[1]Sheet1 (2)'!$L:$M,2,0)</f>
        <v>0</v>
      </c>
    </row>
    <row r="165" spans="1:16" hidden="1" x14ac:dyDescent="0.2">
      <c r="A165" s="13" t="s">
        <v>46</v>
      </c>
      <c r="B165" s="13" t="s">
        <v>227</v>
      </c>
      <c r="C165" s="13" t="s">
        <v>201</v>
      </c>
      <c r="D165" s="15" t="s">
        <v>186</v>
      </c>
      <c r="E165" s="15" t="s">
        <v>17</v>
      </c>
      <c r="F165" s="15" t="s">
        <v>96</v>
      </c>
      <c r="G165" s="15">
        <v>9999</v>
      </c>
      <c r="H165" s="15">
        <v>0</v>
      </c>
      <c r="I165" s="15"/>
      <c r="J165" s="15"/>
      <c r="K165" s="15"/>
      <c r="L165" s="15"/>
      <c r="M165" s="15"/>
      <c r="N165" t="str">
        <f t="shared" si="6"/>
        <v>ActivityILTCourse(ST)-Events(CSOD)Refund Number of Days prior to start‡</v>
      </c>
      <c r="O165">
        <f t="shared" si="5"/>
        <v>0</v>
      </c>
      <c r="P165">
        <f>VLOOKUP(N165,'[1]Sheet1 (2)'!$L:$M,2,0)</f>
        <v>0</v>
      </c>
    </row>
    <row r="166" spans="1:16" hidden="1" x14ac:dyDescent="0.2">
      <c r="A166" s="13" t="s">
        <v>46</v>
      </c>
      <c r="B166" s="13" t="s">
        <v>227</v>
      </c>
      <c r="C166" s="13" t="s">
        <v>201</v>
      </c>
      <c r="D166" s="15" t="s">
        <v>187</v>
      </c>
      <c r="E166" s="15" t="s">
        <v>17</v>
      </c>
      <c r="F166" s="15" t="s">
        <v>96</v>
      </c>
      <c r="G166" s="15">
        <v>100</v>
      </c>
      <c r="H166" s="15">
        <v>0</v>
      </c>
      <c r="I166" s="15"/>
      <c r="J166" s="15"/>
      <c r="K166" s="15"/>
      <c r="L166" s="15"/>
      <c r="M166" s="15"/>
      <c r="N166" t="str">
        <f t="shared" si="6"/>
        <v>ActivityILTCourse(ST)-Events(CSOD)Withdrawal Penalty Percentage</v>
      </c>
      <c r="O166">
        <f t="shared" si="5"/>
        <v>0</v>
      </c>
      <c r="P166">
        <f>VLOOKUP(N166,'[1]Sheet1 (2)'!$L:$M,2,0)</f>
        <v>0</v>
      </c>
    </row>
    <row r="167" spans="1:16" hidden="1" x14ac:dyDescent="0.2">
      <c r="A167" s="13" t="s">
        <v>46</v>
      </c>
      <c r="B167" s="13" t="s">
        <v>227</v>
      </c>
      <c r="C167" s="13" t="s">
        <v>201</v>
      </c>
      <c r="D167" s="15" t="s">
        <v>221</v>
      </c>
      <c r="E167" s="15" t="s">
        <v>17</v>
      </c>
      <c r="F167" s="15" t="s">
        <v>96</v>
      </c>
      <c r="G167" s="15"/>
      <c r="H167" s="15">
        <v>0</v>
      </c>
      <c r="I167" s="15"/>
      <c r="J167" s="15"/>
      <c r="K167" s="15"/>
      <c r="L167" s="15"/>
      <c r="M167" s="15"/>
      <c r="N167" t="str">
        <f t="shared" si="6"/>
        <v>ActivityILTCourse(ST)-Events(CSOD)Withdrawal  Penalty Amount</v>
      </c>
      <c r="O167">
        <f t="shared" si="5"/>
        <v>0</v>
      </c>
      <c r="P167">
        <f>VLOOKUP(N167,'[1]Sheet1 (2)'!$L:$M,2,0)</f>
        <v>0</v>
      </c>
    </row>
    <row r="168" spans="1:16" hidden="1" x14ac:dyDescent="0.2">
      <c r="A168" s="13" t="s">
        <v>46</v>
      </c>
      <c r="B168" s="13" t="s">
        <v>227</v>
      </c>
      <c r="C168" s="13" t="s">
        <v>201</v>
      </c>
      <c r="D168" s="15" t="s">
        <v>189</v>
      </c>
      <c r="E168" s="15" t="s">
        <v>17</v>
      </c>
      <c r="F168" s="15" t="s">
        <v>96</v>
      </c>
      <c r="G168" s="15"/>
      <c r="H168" s="15">
        <v>0</v>
      </c>
      <c r="I168" s="15"/>
      <c r="J168" s="15"/>
      <c r="K168" s="15"/>
      <c r="L168" s="15"/>
      <c r="M168" s="15"/>
      <c r="N168" t="str">
        <f t="shared" si="6"/>
        <v>ActivityILTCourse(ST)-Events(CSOD)Penalty Number of Days prior to start</v>
      </c>
      <c r="O168">
        <f t="shared" si="5"/>
        <v>0</v>
      </c>
      <c r="P168">
        <f>VLOOKUP(N168,'[1]Sheet1 (2)'!$L:$M,2,0)</f>
        <v>0</v>
      </c>
    </row>
    <row r="169" spans="1:16" hidden="1" x14ac:dyDescent="0.2">
      <c r="A169" s="13" t="s">
        <v>46</v>
      </c>
      <c r="B169" s="13" t="s">
        <v>227</v>
      </c>
      <c r="C169" s="13" t="s">
        <v>201</v>
      </c>
      <c r="D169" s="15" t="s">
        <v>127</v>
      </c>
      <c r="E169" s="15" t="s">
        <v>17</v>
      </c>
      <c r="F169" s="15" t="s">
        <v>96</v>
      </c>
      <c r="G169" s="15">
        <v>999</v>
      </c>
      <c r="H169" s="15">
        <v>0</v>
      </c>
      <c r="I169" s="15"/>
      <c r="J169" s="15" t="s">
        <v>222</v>
      </c>
      <c r="K169" s="15" t="s">
        <v>129</v>
      </c>
      <c r="L169" s="15"/>
      <c r="M169" s="15"/>
      <c r="N169" t="str">
        <f t="shared" si="6"/>
        <v>ActivityILTCourse(ST)-Events(CSOD)Credits</v>
      </c>
      <c r="O169">
        <f t="shared" si="5"/>
        <v>0</v>
      </c>
      <c r="P169">
        <f>VLOOKUP(N169,'[1]Sheet1 (2)'!$L:$M,2,0)</f>
        <v>0</v>
      </c>
    </row>
    <row r="170" spans="1:16" ht="48" hidden="1" x14ac:dyDescent="0.2">
      <c r="A170" s="13" t="s">
        <v>46</v>
      </c>
      <c r="B170" s="13" t="s">
        <v>227</v>
      </c>
      <c r="C170" s="13" t="s">
        <v>201</v>
      </c>
      <c r="D170" s="15" t="s">
        <v>223</v>
      </c>
      <c r="E170" s="15" t="s">
        <v>17</v>
      </c>
      <c r="F170" s="15" t="s">
        <v>18</v>
      </c>
      <c r="G170" s="15"/>
      <c r="H170" s="15" t="b">
        <v>0</v>
      </c>
      <c r="I170" s="17" t="s">
        <v>19</v>
      </c>
      <c r="J170" s="15"/>
      <c r="K170" s="15"/>
      <c r="L170" s="15"/>
      <c r="M170" s="15"/>
      <c r="N170" t="str">
        <f t="shared" si="6"/>
        <v>ActivityILTCourse(ST)-Events(CSOD)Limit Users To One Waitlist Per Event</v>
      </c>
      <c r="O170" t="b">
        <f t="shared" si="5"/>
        <v>0</v>
      </c>
      <c r="P170" t="b">
        <f>VLOOKUP(N170,'[1]Sheet1 (2)'!$L:$M,2,0)</f>
        <v>0</v>
      </c>
    </row>
    <row r="171" spans="1:16" ht="48" hidden="1" x14ac:dyDescent="0.2">
      <c r="A171" s="13" t="s">
        <v>46</v>
      </c>
      <c r="B171" s="13" t="s">
        <v>227</v>
      </c>
      <c r="C171" s="13" t="s">
        <v>201</v>
      </c>
      <c r="D171" s="15" t="s">
        <v>224</v>
      </c>
      <c r="E171" s="15" t="s">
        <v>17</v>
      </c>
      <c r="F171" s="15" t="s">
        <v>18</v>
      </c>
      <c r="G171" s="15"/>
      <c r="H171" s="15" t="b">
        <v>0</v>
      </c>
      <c r="I171" s="17" t="s">
        <v>19</v>
      </c>
      <c r="J171" s="15"/>
      <c r="K171" s="15"/>
      <c r="L171" s="15"/>
      <c r="M171" s="15"/>
      <c r="N171" t="str">
        <f t="shared" si="6"/>
        <v>ActivityILTCourse(ST)-Events(CSOD)Display Session Time In User Time</v>
      </c>
      <c r="O171" t="b">
        <f t="shared" si="5"/>
        <v>0</v>
      </c>
      <c r="P171" t="b">
        <f>VLOOKUP(N171,'[1]Sheet1 (2)'!$L:$M,2,0)</f>
        <v>0</v>
      </c>
    </row>
    <row r="172" spans="1:16" hidden="1" x14ac:dyDescent="0.2">
      <c r="A172" s="13" t="s">
        <v>46</v>
      </c>
      <c r="B172" s="13" t="s">
        <v>227</v>
      </c>
      <c r="C172" s="13" t="s">
        <v>201</v>
      </c>
      <c r="D172" s="15" t="s">
        <v>225</v>
      </c>
      <c r="E172" s="15" t="s">
        <v>17</v>
      </c>
      <c r="F172" s="15" t="s">
        <v>11</v>
      </c>
      <c r="G172" s="15"/>
      <c r="H172" s="15">
        <v>1</v>
      </c>
      <c r="I172" s="15"/>
      <c r="J172" s="15"/>
      <c r="K172" s="15"/>
      <c r="L172" s="15"/>
      <c r="M172" s="15"/>
      <c r="N172" t="str">
        <f t="shared" si="6"/>
        <v>ActivityILTCourse(ST)-Events(CSOD)Ability To Select Session</v>
      </c>
      <c r="O172">
        <f t="shared" si="5"/>
        <v>1</v>
      </c>
      <c r="P172" t="str">
        <f>VLOOKUP(N172,'[1]Sheet1 (2)'!$L:$M,2,0)</f>
        <v/>
      </c>
    </row>
    <row r="173" spans="1:16" hidden="1" x14ac:dyDescent="0.2">
      <c r="A173" s="13" t="s">
        <v>46</v>
      </c>
      <c r="B173" s="13" t="s">
        <v>227</v>
      </c>
      <c r="C173" s="13" t="s">
        <v>201</v>
      </c>
      <c r="D173" s="15" t="s">
        <v>193</v>
      </c>
      <c r="E173" s="15" t="s">
        <v>17</v>
      </c>
      <c r="F173" s="15" t="s">
        <v>11</v>
      </c>
      <c r="G173" s="15"/>
      <c r="H173" s="15" t="s">
        <v>226</v>
      </c>
      <c r="I173" s="15"/>
      <c r="J173" s="15"/>
      <c r="K173" s="15"/>
      <c r="L173" s="15"/>
      <c r="M173" s="15"/>
      <c r="N173" t="str">
        <f t="shared" si="6"/>
        <v>ActivityILTCourse(ST)-Events(CSOD)Training Units</v>
      </c>
      <c r="O173" t="str">
        <f t="shared" si="5"/>
        <v>Conversion Rate by Monetary Value</v>
      </c>
      <c r="P173" t="e">
        <f>VLOOKUP(N173,'[1]Sheet1 (2)'!$L:$M,2,0)</f>
        <v>#N/A</v>
      </c>
    </row>
    <row r="174" spans="1:16" hidden="1" x14ac:dyDescent="0.2">
      <c r="A174" s="13" t="s">
        <v>46</v>
      </c>
      <c r="B174" s="13" t="s">
        <v>227</v>
      </c>
      <c r="C174" s="13" t="s">
        <v>201</v>
      </c>
      <c r="D174" s="15" t="s">
        <v>194</v>
      </c>
      <c r="E174" s="15" t="s">
        <v>17</v>
      </c>
      <c r="F174" s="15" t="s">
        <v>96</v>
      </c>
      <c r="G174" s="15">
        <v>999999</v>
      </c>
      <c r="H174" s="15">
        <v>0</v>
      </c>
      <c r="I174" s="15"/>
      <c r="J174" s="15"/>
      <c r="K174" s="15"/>
      <c r="L174" s="15"/>
      <c r="M174" s="15"/>
      <c r="N174" t="str">
        <f t="shared" si="6"/>
        <v>ActivityILTCourse(ST)-Events(CSOD)Default Training Unit Price</v>
      </c>
      <c r="O174">
        <f t="shared" si="5"/>
        <v>0</v>
      </c>
      <c r="P174">
        <f>VLOOKUP(N174,'[1]Sheet1 (2)'!$L:$M,2,0)</f>
        <v>0</v>
      </c>
    </row>
    <row r="175" spans="1:16" hidden="1" x14ac:dyDescent="0.2">
      <c r="A175" s="13" t="s">
        <v>46</v>
      </c>
      <c r="B175" s="13" t="s">
        <v>227</v>
      </c>
      <c r="C175" s="13" t="s">
        <v>201</v>
      </c>
      <c r="D175" s="15" t="s">
        <v>81</v>
      </c>
      <c r="E175" s="15" t="s">
        <v>17</v>
      </c>
      <c r="F175" s="15" t="s">
        <v>11</v>
      </c>
      <c r="G175" s="15">
        <v>100</v>
      </c>
      <c r="H175" s="15"/>
      <c r="I175" s="15"/>
      <c r="J175" s="15"/>
      <c r="K175" s="15"/>
      <c r="L175" s="15"/>
      <c r="M175" s="15"/>
      <c r="N175" t="str">
        <f t="shared" si="6"/>
        <v>ActivityILTCourse(ST)-Events(CSOD)Thumbnail</v>
      </c>
      <c r="O175" t="str">
        <f t="shared" si="5"/>
        <v/>
      </c>
      <c r="P175" t="e">
        <f>VLOOKUP(N175,'[1]Sheet1 (2)'!$L:$M,2,0)</f>
        <v>#N/A</v>
      </c>
    </row>
    <row r="176" spans="1:16" ht="48" hidden="1" x14ac:dyDescent="0.2">
      <c r="A176" s="13" t="s">
        <v>46</v>
      </c>
      <c r="B176" s="13" t="s">
        <v>227</v>
      </c>
      <c r="C176" s="13" t="s">
        <v>201</v>
      </c>
      <c r="D176" s="15" t="s">
        <v>83</v>
      </c>
      <c r="E176" s="15" t="s">
        <v>17</v>
      </c>
      <c r="F176" s="15" t="s">
        <v>18</v>
      </c>
      <c r="G176" s="15"/>
      <c r="H176" s="15" t="b">
        <v>0</v>
      </c>
      <c r="I176" s="17" t="s">
        <v>19</v>
      </c>
      <c r="J176" s="15"/>
      <c r="K176" s="15"/>
      <c r="L176" s="15"/>
      <c r="M176" s="15"/>
      <c r="N176" t="str">
        <f t="shared" si="6"/>
        <v>ActivityILTCourse(ST)-Events(CSOD)Exclude from Course Recommendations</v>
      </c>
      <c r="O176" t="b">
        <f t="shared" si="5"/>
        <v>0</v>
      </c>
      <c r="P176" t="e">
        <f>VLOOKUP(N176,'[1]Sheet1 (2)'!$L:$M,2,0)</f>
        <v>#N/A</v>
      </c>
    </row>
    <row r="177" spans="1:16" hidden="1" x14ac:dyDescent="0.2">
      <c r="A177" s="13" t="s">
        <v>46</v>
      </c>
      <c r="B177" s="13" t="s">
        <v>227</v>
      </c>
      <c r="C177" s="13" t="s">
        <v>201</v>
      </c>
      <c r="D177" s="15" t="s">
        <v>130</v>
      </c>
      <c r="E177" s="15" t="s">
        <v>17</v>
      </c>
      <c r="F177" s="15" t="s">
        <v>11</v>
      </c>
      <c r="G177" s="15"/>
      <c r="H177" s="15"/>
      <c r="I177" s="15"/>
      <c r="J177" s="15"/>
      <c r="K177" s="15"/>
      <c r="L177" s="15"/>
      <c r="M177" s="15"/>
      <c r="N177" t="str">
        <f t="shared" si="6"/>
        <v>ActivityILTCourse(ST)-Events(CSOD)Training Purpose</v>
      </c>
      <c r="O177" t="str">
        <f t="shared" si="5"/>
        <v/>
      </c>
      <c r="P177" t="e">
        <f>VLOOKUP(N177,'[1]Sheet1 (2)'!$L:$M,2,0)</f>
        <v>#N/A</v>
      </c>
    </row>
    <row r="178" spans="1:16" hidden="1" x14ac:dyDescent="0.2">
      <c r="A178" s="13" t="s">
        <v>46</v>
      </c>
      <c r="B178" s="13" t="s">
        <v>227</v>
      </c>
      <c r="C178" s="13" t="s">
        <v>201</v>
      </c>
      <c r="D178" s="15" t="s">
        <v>131</v>
      </c>
      <c r="E178" s="15" t="s">
        <v>17</v>
      </c>
      <c r="F178" s="15" t="s">
        <v>11</v>
      </c>
      <c r="G178" s="15">
        <v>1000</v>
      </c>
      <c r="H178" s="15"/>
      <c r="I178" s="15"/>
      <c r="J178" s="15"/>
      <c r="K178" s="15"/>
      <c r="L178" s="15"/>
      <c r="M178" s="15"/>
      <c r="N178" t="str">
        <f t="shared" si="6"/>
        <v>ActivityILTCourse(ST)-Events(CSOD)Points</v>
      </c>
      <c r="O178" t="str">
        <f t="shared" si="5"/>
        <v/>
      </c>
      <c r="P178" t="e">
        <f>VLOOKUP(N178,'[1]Sheet1 (2)'!$L:$M,2,0)</f>
        <v>#N/A</v>
      </c>
    </row>
    <row r="179" spans="1:16" hidden="1" x14ac:dyDescent="0.2">
      <c r="A179" s="13" t="s">
        <v>46</v>
      </c>
      <c r="B179" s="13" t="s">
        <v>227</v>
      </c>
      <c r="C179" s="13" t="s">
        <v>201</v>
      </c>
      <c r="D179" s="15" t="s">
        <v>132</v>
      </c>
      <c r="E179" s="15" t="s">
        <v>17</v>
      </c>
      <c r="F179" s="15" t="s">
        <v>11</v>
      </c>
      <c r="G179" s="15"/>
      <c r="H179" s="15"/>
      <c r="I179" s="15"/>
      <c r="J179" s="15"/>
      <c r="K179" s="15"/>
      <c r="L179" s="15"/>
      <c r="M179" s="15"/>
      <c r="N179" t="str">
        <f t="shared" si="6"/>
        <v>ActivityILTCourse(ST)-Events(CSOD)Badge</v>
      </c>
      <c r="O179" t="str">
        <f t="shared" si="5"/>
        <v/>
      </c>
      <c r="P179" t="str">
        <f>VLOOKUP(N179,'[1]Sheet1 (2)'!$L:$M,2,0)</f>
        <v/>
      </c>
    </row>
    <row r="180" spans="1:16" ht="32" hidden="1" x14ac:dyDescent="0.2">
      <c r="A180" s="13" t="s">
        <v>46</v>
      </c>
      <c r="B180" s="13" t="s">
        <v>227</v>
      </c>
      <c r="C180" s="13" t="s">
        <v>201</v>
      </c>
      <c r="D180" s="15" t="s">
        <v>84</v>
      </c>
      <c r="E180" s="15" t="s">
        <v>17</v>
      </c>
      <c r="F180" s="15" t="s">
        <v>85</v>
      </c>
      <c r="G180" s="15"/>
      <c r="H180" s="15" t="s">
        <v>86</v>
      </c>
      <c r="I180" s="17" t="s">
        <v>133</v>
      </c>
      <c r="J180" s="15"/>
      <c r="K180" s="15"/>
      <c r="L180" s="15"/>
      <c r="M180" s="15"/>
      <c r="N180" t="str">
        <f t="shared" si="6"/>
        <v>ActivityILTCourse(ST)-Events(CSOD)Emails</v>
      </c>
      <c r="O180" t="str">
        <f t="shared" si="5"/>
        <v>No Email</v>
      </c>
      <c r="P180" t="e">
        <f>VLOOKUP(N180,'[1]Sheet1 (2)'!$L:$M,2,0)</f>
        <v>#N/A</v>
      </c>
    </row>
    <row r="181" spans="1:16" hidden="1" x14ac:dyDescent="0.2">
      <c r="A181" s="13" t="s">
        <v>46</v>
      </c>
      <c r="B181" s="13" t="s">
        <v>245</v>
      </c>
      <c r="C181" s="13" t="s">
        <v>231</v>
      </c>
      <c r="D181" s="14" t="s">
        <v>137</v>
      </c>
      <c r="E181" s="15" t="s">
        <v>10</v>
      </c>
      <c r="F181" s="15" t="s">
        <v>11</v>
      </c>
      <c r="G181" s="15">
        <v>100</v>
      </c>
      <c r="H181" s="15"/>
      <c r="I181" s="15"/>
      <c r="J181" s="15" t="s">
        <v>138</v>
      </c>
      <c r="K181" s="15" t="s">
        <v>13</v>
      </c>
      <c r="L181" s="15">
        <v>255</v>
      </c>
      <c r="M181" s="15"/>
      <c r="N181" t="str">
        <f t="shared" si="6"/>
        <v>ActivityILTSessions(ST)-SessionParts(CSOD)Session ID*</v>
      </c>
      <c r="O181" t="str">
        <f t="shared" si="5"/>
        <v/>
      </c>
      <c r="P181" t="e">
        <f>VLOOKUP(N181,'[1]Sheet1 (2)'!$L:$M,2,0)</f>
        <v>#N/A</v>
      </c>
    </row>
    <row r="182" spans="1:16" hidden="1" x14ac:dyDescent="0.2">
      <c r="A182" s="13" t="s">
        <v>46</v>
      </c>
      <c r="B182" s="13" t="s">
        <v>245</v>
      </c>
      <c r="C182" s="13" t="s">
        <v>231</v>
      </c>
      <c r="D182" s="14" t="s">
        <v>232</v>
      </c>
      <c r="E182" s="15" t="s">
        <v>10</v>
      </c>
      <c r="F182" s="15" t="s">
        <v>140</v>
      </c>
      <c r="G182" s="15"/>
      <c r="H182" s="15"/>
      <c r="I182" s="15"/>
      <c r="J182" s="15" t="s">
        <v>233</v>
      </c>
      <c r="K182" s="15" t="s">
        <v>140</v>
      </c>
      <c r="L182" s="15"/>
      <c r="M182" s="15"/>
      <c r="N182" t="str">
        <f t="shared" si="6"/>
        <v>ActivityILTSessions(ST)-SessionParts(CSOD)Start Date/Time*</v>
      </c>
      <c r="O182" t="str">
        <f t="shared" si="5"/>
        <v/>
      </c>
      <c r="P182" t="str">
        <f>VLOOKUP(N182,'[1]Sheet1 (2)'!$L:$M,2,0)</f>
        <v/>
      </c>
    </row>
    <row r="183" spans="1:16" hidden="1" x14ac:dyDescent="0.2">
      <c r="A183" s="13" t="s">
        <v>46</v>
      </c>
      <c r="B183" s="13" t="s">
        <v>245</v>
      </c>
      <c r="C183" s="13" t="s">
        <v>231</v>
      </c>
      <c r="D183" s="14" t="s">
        <v>234</v>
      </c>
      <c r="E183" s="15" t="s">
        <v>10</v>
      </c>
      <c r="F183" s="15" t="s">
        <v>140</v>
      </c>
      <c r="G183" s="15"/>
      <c r="H183" s="15"/>
      <c r="I183" s="15"/>
      <c r="J183" s="15" t="s">
        <v>235</v>
      </c>
      <c r="K183" s="15" t="s">
        <v>140</v>
      </c>
      <c r="L183" s="15"/>
      <c r="M183" s="15"/>
      <c r="N183" t="str">
        <f t="shared" si="6"/>
        <v>ActivityILTSessions(ST)-SessionParts(CSOD)End Date/Time</v>
      </c>
      <c r="O183" t="str">
        <f t="shared" si="5"/>
        <v/>
      </c>
      <c r="P183" t="str">
        <f>VLOOKUP(N183,'[1]Sheet1 (2)'!$L:$M,2,0)</f>
        <v/>
      </c>
    </row>
    <row r="184" spans="1:16" hidden="1" x14ac:dyDescent="0.2">
      <c r="A184" s="13" t="s">
        <v>46</v>
      </c>
      <c r="B184" s="13" t="s">
        <v>245</v>
      </c>
      <c r="C184" s="13" t="s">
        <v>231</v>
      </c>
      <c r="D184" s="14" t="s">
        <v>236</v>
      </c>
      <c r="E184" s="15" t="s">
        <v>17</v>
      </c>
      <c r="F184" s="15"/>
      <c r="G184" s="15"/>
      <c r="H184" s="15">
        <v>1</v>
      </c>
      <c r="I184" s="15"/>
      <c r="J184" s="15"/>
      <c r="K184" s="15"/>
      <c r="L184" s="15"/>
      <c r="M184" s="15"/>
      <c r="N184" t="str">
        <f t="shared" si="6"/>
        <v>ActivityILTSessions(ST)-SessionParts(CSOD)Part Break</v>
      </c>
      <c r="O184">
        <f t="shared" si="5"/>
        <v>1</v>
      </c>
      <c r="P184" t="str">
        <f>VLOOKUP(N184,'[1]Sheet1 (2)'!$L:$M,2,0)</f>
        <v/>
      </c>
    </row>
    <row r="185" spans="1:16" ht="409.5" hidden="1" x14ac:dyDescent="0.2">
      <c r="A185" s="13" t="s">
        <v>46</v>
      </c>
      <c r="B185" s="13" t="s">
        <v>245</v>
      </c>
      <c r="C185" s="13" t="s">
        <v>231</v>
      </c>
      <c r="D185" s="14" t="s">
        <v>237</v>
      </c>
      <c r="E185" s="15" t="s">
        <v>17</v>
      </c>
      <c r="F185" s="15" t="s">
        <v>11</v>
      </c>
      <c r="G185" s="15">
        <v>20</v>
      </c>
      <c r="H185" s="25" t="s">
        <v>300</v>
      </c>
      <c r="I185" s="15"/>
      <c r="J185" s="15" t="s">
        <v>146</v>
      </c>
      <c r="K185" s="15" t="s">
        <v>13</v>
      </c>
      <c r="L185" s="15"/>
      <c r="M185" s="15"/>
      <c r="N185" t="str">
        <f t="shared" si="6"/>
        <v>ActivityILTSessions(ST)-SessionParts(CSOD)Time Zone ID</v>
      </c>
      <c r="O185" t="str">
        <f t="shared" si="5"/>
        <v>IF Timezone == "MIT" THEN TimeZoneID = 1
ELSE IF Timezone == "MIT" THEN TimeZoneID = 2
ELSE IF Timezone == "HST" THEN TimeZoneID = 3
ELSE IF Timezone == "AKST" THEN TimeZoneID = 4
ELSE IF Timezone == "PST" THEN TimeZoneID = 5
ELSE IF Timezone == "PNT" THEN TimeZoneID = 6
ELSE IF Timezone == "MST" THEN TimeZoneID = 8
ELSE IF Timezone == "CST" THEN TimeZoneID = 9
ELSE IF Timezone == "CST" THEN TimeZoneID = 10
ELSE IF Timezone == "CST" THEN TimeZoneID = 12
ELSE IF Timezone == "COT" THEN TimeZoneID = 13
ELSE IF Timezone == "EST" THEN TimeZoneID = 14
ELSE IF Timezone == "IET" THEN TimeZoneID = 15
ELSE IF Timezone == "AST" THEN TimeZoneID = 16
ELSE IF Timezone == "PRT" THEN TimeZoneID = 17
ELSE IF Timezone == "PRT" THEN TimeZoneID = 18
ELSE IF Timezone == "CNT" THEN TimeZoneID = 19
ELSE IF Timezone == "BRT-BRST" THEN TimeZoneID = 20
ELSE IF Timezone == "AGT" THEN TimeZoneID = 21
ELSE IF Timezone == "AGT" THEN TimeZoneID = 22
ELSE IF Timezone == "AGT" THEN TimeZoneID = 23
ELSE IF Timezone == "AZOT" THEN TimeZoneID = 24
ELSE IF Timezone == "CVT" THEN TimeZoneID = 25
ELSE IF Timezone == "GMT" THEN TimeZoneID = 26
ELSE IF Timezone == "GMT" THEN TimeZoneID = 27
ELSE IF Timezone == "CET" THEN TimeZoneID = 28
ELSE IF Timezone == "CET" THEN TimeZoneID = 29
ELSE IF Timezone == "CET" THEN TimeZoneID = 30
ELSE IF Timezone == "CET" THEN TimeZoneID = 31
ELSE IF Timezone == "CET" THEN TimeZoneID = 32
ELSE IF Timezone == "EET" THEN TimeZoneID = 33
ELSE IF Timezone == "EET" THEN TimeZoneID = 34
ELSE IF Timezone == "EET" THEN TimeZoneID = 35
ELSE IF Timezone == "SAST" THEN TimeZoneID = 36
ELSE IF Timezone == "EET" THEN TimeZoneID = 37
ELSE IF Timezone == "IsraelST" THEN TimeZoneID = 38
ELSE IF Timezone == "EAT" THEN TimeZoneID = 39
ELSE IF Timezone == "EAT" THEN TimeZoneID = 40
ELSE IF Timezone == "MSK" THEN TimeZoneID = 41
ELSE IF Timezone == "EAT" THEN TimeZoneID = 42
ELSE IF Timezone == "MET" THEN TimeZoneID = 43
ELSE IF Timezone == "GST" THEN TimeZoneID = 44
ELSE IF Timezone == "NET" THEN TimeZoneID = 45
ELSE IF Timezone == "NET" THEN TimeZoneID = 46
ELSE IF Timezone == "YEKT" THEN TimeZoneID = 47
ELSE IF Timezone == "WAST" THEN TimeZoneID = 48
ELSE IF Timezone == "IST" THEN TimeZoneID = 49
ELSE IF Timezone == "NPT" THEN TimeZoneID = 50
ELSE IF Timezone == "NOVT" THEN TimeZoneID = 51
ELSE IF Timezone == "ALMT" THEN TimeZoneID = 52
ELSE IF Timezone == "IST" THEN TimeZoneID = 53
ELSE IF Timezone == "MMT" THEN TimeZoneID = 54
ELSE IF Timezone == "UTC+7" THEN TimeZoneID = 55
ELSE IF Timezone == "KRAT" THEN TimeZoneID = 56
ELSE IF Timezone == "CTT" THEN TimeZoneID = 57
ELSE IF Timezone == "IRKT" THEN TimeZoneID = 58
ELSE IF Timezone == "MYT" THEN TimeZoneID = 59
ELSE IF Timezone == "AWST" THEN TimeZoneID = 60
ELSE IF Timezone == "CST" THEN TimeZoneID = 61
ELSE IF Timezone == "JST" THEN TimeZoneID = 62
ELSE IF Timezone == "KST" THEN TimeZoneID = 63
ELSE IF Timezone == "YAKT" THEN TimeZoneID = 64
ELSE IF Timezone == "ACST" THEN TimeZoneID = 65
ELSE IF Timezone == "ACT" THEN TimeZoneID = 66
ELSE IF Timezone == "AEST" THEN TimeZoneID = 67
ELSE IF Timezone == "AET" THEN TimeZoneID = 68
ELSE IF Timezone == "ChST" THEN TimeZoneID = 69
ELSE IF Timezone == "AET" THEN TimeZoneID = 70
ELSE IF Timezone == "AET" THEN TimeZoneID = 71
ELSE IF Timezone == "SST" THEN TimeZoneID = 72
ELSE IF Timezone == "NZST" THEN TimeZoneID = 73
ELSE IF Timezone == "NST" THEN TimeZoneID = 74
ELSE IF Timezone == "NST" THEN TimeZoneID = 75
ELSE IF Timezone == "UTC-11" THEN TimeZoneID = 76
ELSE IF Timezone == "PST" THEN TimeZoneID = 77
ELSE IF Timezone == "MST" THEN TimeZoneID = 78
ELSE IF Timezone == "CDT" THEN TimeZoneID = 79
ELSE IF Timezone == "VET" THEN TimeZoneID = 80
ELSE IF Timezone == "PYT" THEN TimeZoneID = 81
ELSE IF Timezone == "AMT" THEN TimeZoneID = 82
ELSE IF Timezone == "ART" THEN TimeZoneID = 83
ELSE IF Timezone == "UYT" THEN TimeZoneID = 84
ELSE IF Timezone == "UTC-02" THEN TimeZoneID = 85
ELSE IF Timezone == "WET" THEN TimeZoneID = 86
ELSE IF Timezone == "UTC" THEN TimeZoneID = 87
ELSE IF Timezone == "AST" THEN TimeZoneID = 88
ELSE IF Timezone == "EEST" THEN TimeZoneID = 89
ELSE IF Timezone == "EEST" THEN TimeZoneID = 90
ELSE IF Timezone == "WAT" THEN TimeZoneID = 92
ELSE IF Timezone == "AZT" THEN TimeZoneID = 93
ELSE IF Timezone == "MUT" THEN TimeZoneID = 94
ELSE IF Timezone == "GET" THEN TimeZoneID = 95
ELSE IF Timezone == "PKT" THEN TimeZoneID = 97
ELSE IF Timezone == "BST" THEN TimeZoneID = 98
ELSE IF Timezone == "ULAT" THEN TimeZoneID = 100
ELSE IF Timezone == "UTC+12" THEN TimeZoneID = 101
ELSE IF Timezone == "PETT" THEN TimeZoneID = 102
ELSE IF Timezone == "BRT" THEN TimeZoneID = 103
ELSE IF Timezone == "EEST" THEN TimeZoneID = 104
ELSE IF Timezone == "EET" THEN TimeZoneID = 105
ELSE IF Timezone == "VLAT" THEN TimeZoneID = 106
ELSE IF Timezone == "SAMT" THEN TimeZoneID = 107
ELSE IF Timezone == "SRET" THEN TimeZoneID = 108
ELSE IF Timezone == "AST" THEN TimeZoneID = 109
ELSE IF Timezone == "WAT" THEN TimeZoneID = 110
ELSE IF Timezone == "GMT" THEN TimeZoneID = 111
ELSE IF Timezone == "SST" THEN TimeZoneID = 112
ELSE IF Timezone == "OMST" THEN TimeZoneID = 113
ELSE TimeZoneID = 9</v>
      </c>
      <c r="P185" t="str">
        <f>VLOOKUP(N185,'[1]Sheet1 (2)'!$L:$M,2,0)</f>
        <v/>
      </c>
    </row>
    <row r="186" spans="1:16" ht="48" hidden="1" x14ac:dyDescent="0.2">
      <c r="A186" s="13" t="s">
        <v>46</v>
      </c>
      <c r="B186" s="13" t="s">
        <v>245</v>
      </c>
      <c r="C186" s="13" t="s">
        <v>231</v>
      </c>
      <c r="D186" s="14" t="s">
        <v>147</v>
      </c>
      <c r="E186" s="15" t="s">
        <v>17</v>
      </c>
      <c r="F186" s="15" t="s">
        <v>11</v>
      </c>
      <c r="G186" s="15"/>
      <c r="H186" s="15" t="b">
        <v>1</v>
      </c>
      <c r="I186" s="17" t="s">
        <v>19</v>
      </c>
      <c r="J186" s="15"/>
      <c r="K186" s="15"/>
      <c r="L186" s="15"/>
      <c r="M186" s="15"/>
      <c r="N186" t="str">
        <f t="shared" si="6"/>
        <v>ActivityILTSessions(ST)-SessionParts(CSOD)Display Times in TimeZone of User</v>
      </c>
      <c r="O186" t="b">
        <f t="shared" si="5"/>
        <v>1</v>
      </c>
      <c r="P186" t="b">
        <f>VLOOKUP(N186,'[1]Sheet1 (2)'!$L:$M,2,0)</f>
        <v>1</v>
      </c>
    </row>
    <row r="187" spans="1:16" hidden="1" x14ac:dyDescent="0.2">
      <c r="A187" s="13" t="s">
        <v>46</v>
      </c>
      <c r="B187" s="13" t="s">
        <v>245</v>
      </c>
      <c r="C187" s="13" t="s">
        <v>231</v>
      </c>
      <c r="D187" s="14" t="s">
        <v>238</v>
      </c>
      <c r="E187" s="15" t="s">
        <v>10</v>
      </c>
      <c r="F187" s="15" t="s">
        <v>11</v>
      </c>
      <c r="G187" s="15">
        <v>500</v>
      </c>
      <c r="H187" s="15"/>
      <c r="I187" s="15"/>
      <c r="J187" s="15" t="s">
        <v>239</v>
      </c>
      <c r="K187" s="15" t="s">
        <v>13</v>
      </c>
      <c r="L187" s="15">
        <v>300</v>
      </c>
      <c r="M187" s="15"/>
      <c r="N187" t="str">
        <f t="shared" si="6"/>
        <v>ActivityILTSessions(ST)-SessionParts(CSOD)Part Name</v>
      </c>
      <c r="O187" t="str">
        <f t="shared" si="5"/>
        <v/>
      </c>
      <c r="P187" t="str">
        <f>VLOOKUP(N187,'[1]Sheet1 (2)'!$L:$M,2,0)</f>
        <v/>
      </c>
    </row>
    <row r="188" spans="1:16" hidden="1" x14ac:dyDescent="0.2">
      <c r="A188" s="13" t="s">
        <v>46</v>
      </c>
      <c r="B188" s="13" t="s">
        <v>245</v>
      </c>
      <c r="C188" s="13" t="s">
        <v>231</v>
      </c>
      <c r="D188" s="14" t="s">
        <v>65</v>
      </c>
      <c r="E188" s="15" t="s">
        <v>17</v>
      </c>
      <c r="F188" s="15" t="s">
        <v>11</v>
      </c>
      <c r="G188" s="15">
        <v>4000</v>
      </c>
      <c r="H188" s="15"/>
      <c r="I188" s="15"/>
      <c r="J188" s="15" t="s">
        <v>240</v>
      </c>
      <c r="K188" s="15" t="s">
        <v>13</v>
      </c>
      <c r="L188" s="15">
        <v>4000</v>
      </c>
      <c r="M188" s="15"/>
      <c r="N188" t="str">
        <f t="shared" si="6"/>
        <v>ActivityILTSessions(ST)-SessionParts(CSOD)Description</v>
      </c>
      <c r="O188" t="str">
        <f t="shared" si="5"/>
        <v/>
      </c>
      <c r="P188" t="str">
        <f>VLOOKUP(N188,'[1]Sheet1 (2)'!$L:$M,2,0)</f>
        <v/>
      </c>
    </row>
    <row r="189" spans="1:16" hidden="1" x14ac:dyDescent="0.2">
      <c r="A189" s="13" t="s">
        <v>46</v>
      </c>
      <c r="B189" s="13" t="s">
        <v>245</v>
      </c>
      <c r="C189" s="13" t="s">
        <v>231</v>
      </c>
      <c r="D189" s="14" t="s">
        <v>152</v>
      </c>
      <c r="E189" s="15" t="s">
        <v>17</v>
      </c>
      <c r="F189" s="15" t="s">
        <v>11</v>
      </c>
      <c r="G189" s="15">
        <v>100</v>
      </c>
      <c r="H189" s="15" t="s">
        <v>241</v>
      </c>
      <c r="I189" s="15"/>
      <c r="J189" s="15" t="s">
        <v>242</v>
      </c>
      <c r="K189" s="15" t="s">
        <v>13</v>
      </c>
      <c r="L189" s="15">
        <v>255</v>
      </c>
      <c r="M189" s="15"/>
      <c r="N189" t="str">
        <f t="shared" si="6"/>
        <v>ActivityILTSessions(ST)-SessionParts(CSOD)Location</v>
      </c>
      <c r="O189" t="str">
        <f t="shared" si="5"/>
        <v>Bldg_2_Room_207</v>
      </c>
      <c r="P189" t="str">
        <f>VLOOKUP(N189,'[1]Sheet1 (2)'!$L:$M,2,0)</f>
        <v/>
      </c>
    </row>
    <row r="190" spans="1:16" hidden="1" x14ac:dyDescent="0.2">
      <c r="A190" s="13" t="s">
        <v>46</v>
      </c>
      <c r="B190" s="13" t="s">
        <v>245</v>
      </c>
      <c r="C190" s="13" t="s">
        <v>231</v>
      </c>
      <c r="D190" s="14" t="s">
        <v>154</v>
      </c>
      <c r="E190" s="15" t="s">
        <v>17</v>
      </c>
      <c r="F190" s="15" t="s">
        <v>11</v>
      </c>
      <c r="G190" s="15">
        <v>128</v>
      </c>
      <c r="H190" s="15" t="s">
        <v>68</v>
      </c>
      <c r="I190" s="15"/>
      <c r="J190" s="15" t="s">
        <v>243</v>
      </c>
      <c r="K190" s="15" t="s">
        <v>64</v>
      </c>
      <c r="L190" s="15">
        <v>50</v>
      </c>
      <c r="M190" s="15"/>
      <c r="N190" t="str">
        <f t="shared" si="6"/>
        <v>ActivityILTSessions(ST)-SessionParts(CSOD)Instructor</v>
      </c>
      <c r="O190" t="str">
        <f t="shared" si="5"/>
        <v>TRN1000194</v>
      </c>
      <c r="P190" t="str">
        <f>VLOOKUP(N190,'[1]Sheet1 (2)'!$L:$M,2,0)</f>
        <v/>
      </c>
    </row>
    <row r="191" spans="1:16" hidden="1" x14ac:dyDescent="0.2">
      <c r="A191" s="13" t="s">
        <v>46</v>
      </c>
      <c r="B191" s="13" t="s">
        <v>245</v>
      </c>
      <c r="C191" s="13" t="s">
        <v>231</v>
      </c>
      <c r="D191" s="14" t="s">
        <v>41</v>
      </c>
      <c r="E191" s="15" t="s">
        <v>17</v>
      </c>
      <c r="F191" s="15" t="s">
        <v>11</v>
      </c>
      <c r="G191" s="15">
        <v>128</v>
      </c>
      <c r="H191" s="15"/>
      <c r="I191" s="15"/>
      <c r="J191" s="15"/>
      <c r="K191" s="15"/>
      <c r="L191" s="15"/>
      <c r="M191" s="15"/>
      <c r="N191" t="str">
        <f t="shared" si="6"/>
        <v>ActivityILTSessions(ST)-SessionParts(CSOD)Created/Modified By</v>
      </c>
      <c r="O191" t="str">
        <f t="shared" si="5"/>
        <v/>
      </c>
      <c r="P191" t="e">
        <f>VLOOKUP(N191,'[1]Sheet1 (2)'!$L:$M,2,0)</f>
        <v>#N/A</v>
      </c>
    </row>
    <row r="192" spans="1:16" hidden="1" x14ac:dyDescent="0.2">
      <c r="A192" s="13" t="s">
        <v>46</v>
      </c>
      <c r="B192" s="13" t="s">
        <v>245</v>
      </c>
      <c r="C192" s="13" t="s">
        <v>231</v>
      </c>
      <c r="D192" s="14" t="s">
        <v>244</v>
      </c>
      <c r="E192" s="15" t="s">
        <v>17</v>
      </c>
      <c r="F192" s="15" t="s">
        <v>140</v>
      </c>
      <c r="G192" s="15"/>
      <c r="H192" s="15"/>
      <c r="I192" s="15"/>
      <c r="J192" s="15"/>
      <c r="K192" s="15"/>
      <c r="L192" s="15"/>
      <c r="M192" s="15"/>
      <c r="N192" t="str">
        <f t="shared" si="6"/>
        <v>ActivityILTSessions(ST)-SessionParts(CSOD)New Start Date/Time</v>
      </c>
      <c r="O192" t="str">
        <f t="shared" si="5"/>
        <v/>
      </c>
      <c r="P192" t="str">
        <f>VLOOKUP(N192,'[1]Sheet1 (2)'!$L:$M,2,0)</f>
        <v/>
      </c>
    </row>
    <row r="193" spans="1:16" hidden="1" x14ac:dyDescent="0.2">
      <c r="A193" s="13" t="s">
        <v>46</v>
      </c>
      <c r="B193" s="13" t="s">
        <v>260</v>
      </c>
      <c r="C193" s="13" t="s">
        <v>246</v>
      </c>
      <c r="D193" s="15" t="s">
        <v>247</v>
      </c>
      <c r="E193" s="15" t="s">
        <v>10</v>
      </c>
      <c r="F193" s="15" t="s">
        <v>11</v>
      </c>
      <c r="G193" s="15">
        <v>100</v>
      </c>
      <c r="H193" s="15"/>
      <c r="I193" s="15"/>
      <c r="J193" s="15" t="s">
        <v>248</v>
      </c>
      <c r="K193" s="15" t="s">
        <v>13</v>
      </c>
      <c r="L193" s="15">
        <v>255</v>
      </c>
      <c r="M193" s="15"/>
      <c r="N193" t="str">
        <f t="shared" si="6"/>
        <v>ActivityOnlineCourse(ST)-OnlineCourse(CSOD)Online Course ID*</v>
      </c>
      <c r="O193" t="str">
        <f t="shared" si="5"/>
        <v/>
      </c>
      <c r="P193" t="str">
        <f>VLOOKUP(N193,'[1]Sheet1 (2)'!$L:$M,2,0)</f>
        <v/>
      </c>
    </row>
    <row r="194" spans="1:16" hidden="1" x14ac:dyDescent="0.2">
      <c r="A194" s="13" t="s">
        <v>46</v>
      </c>
      <c r="B194" s="13" t="s">
        <v>260</v>
      </c>
      <c r="C194" s="13" t="s">
        <v>246</v>
      </c>
      <c r="D194" s="15" t="s">
        <v>249</v>
      </c>
      <c r="E194" s="15" t="s">
        <v>10</v>
      </c>
      <c r="F194" s="15" t="s">
        <v>11</v>
      </c>
      <c r="G194" s="15">
        <v>500</v>
      </c>
      <c r="H194" s="15"/>
      <c r="I194" s="15"/>
      <c r="J194" s="15" t="s">
        <v>250</v>
      </c>
      <c r="K194" s="15" t="s">
        <v>13</v>
      </c>
      <c r="L194" s="15">
        <v>300</v>
      </c>
      <c r="M194" s="15"/>
      <c r="N194" t="str">
        <f t="shared" si="6"/>
        <v>ActivityOnlineCourse(ST)-OnlineCourse(CSOD)Online Course Name*</v>
      </c>
      <c r="O194" t="str">
        <f t="shared" si="5"/>
        <v/>
      </c>
      <c r="P194" t="str">
        <f>VLOOKUP(N194,'[1]Sheet1 (2)'!$L:$M,2,0)</f>
        <v/>
      </c>
    </row>
    <row r="195" spans="1:16" hidden="1" x14ac:dyDescent="0.2">
      <c r="A195" s="13" t="s">
        <v>46</v>
      </c>
      <c r="B195" s="13" t="s">
        <v>260</v>
      </c>
      <c r="C195" s="13" t="s">
        <v>246</v>
      </c>
      <c r="D195" s="15" t="s">
        <v>55</v>
      </c>
      <c r="E195" s="15" t="s">
        <v>10</v>
      </c>
      <c r="F195" s="15" t="s">
        <v>11</v>
      </c>
      <c r="G195" s="15">
        <v>100</v>
      </c>
      <c r="H195" s="15" t="s">
        <v>56</v>
      </c>
      <c r="I195" s="15"/>
      <c r="J195" s="15" t="s">
        <v>57</v>
      </c>
      <c r="K195" s="15" t="s">
        <v>13</v>
      </c>
      <c r="L195" s="15">
        <v>100</v>
      </c>
      <c r="M195" s="15"/>
      <c r="N195" t="str">
        <f t="shared" si="6"/>
        <v>ActivityOnlineCourse(ST)-OnlineCourse(CSOD)Vendor/Provider*</v>
      </c>
      <c r="O195" t="str">
        <f t="shared" ref="O195:O258" si="7">IF(H195="","",H195)</f>
        <v>Online Content</v>
      </c>
      <c r="P195" t="e">
        <f>VLOOKUP(N195,'[1]Sheet1 (2)'!$L:$M,2,0)</f>
        <v>#N/A</v>
      </c>
    </row>
    <row r="196" spans="1:16" hidden="1" x14ac:dyDescent="0.2">
      <c r="A196" s="13" t="s">
        <v>46</v>
      </c>
      <c r="B196" s="13" t="s">
        <v>260</v>
      </c>
      <c r="C196" s="13" t="s">
        <v>246</v>
      </c>
      <c r="D196" s="15" t="s">
        <v>58</v>
      </c>
      <c r="E196" s="15" t="s">
        <v>10</v>
      </c>
      <c r="F196" s="15" t="s">
        <v>11</v>
      </c>
      <c r="G196" s="15"/>
      <c r="H196" s="15" t="s">
        <v>59</v>
      </c>
      <c r="I196" s="15" t="s">
        <v>60</v>
      </c>
      <c r="J196" s="15"/>
      <c r="K196" s="15"/>
      <c r="L196" s="15"/>
      <c r="M196" s="15"/>
      <c r="N196" t="str">
        <f t="shared" si="6"/>
        <v>ActivityOnlineCourse(ST)-OnlineCourse(CSOD)Provider type*</v>
      </c>
      <c r="O196" t="str">
        <f t="shared" si="7"/>
        <v>ONLINE</v>
      </c>
      <c r="P196" t="str">
        <f>VLOOKUP(N196,'[1]Sheet1 (2)'!$L:$M,2,0)</f>
        <v/>
      </c>
    </row>
    <row r="197" spans="1:16" ht="48" hidden="1" x14ac:dyDescent="0.2">
      <c r="A197" s="13" t="s">
        <v>46</v>
      </c>
      <c r="B197" s="13" t="s">
        <v>260</v>
      </c>
      <c r="C197" s="13" t="s">
        <v>246</v>
      </c>
      <c r="D197" s="15" t="s">
        <v>16</v>
      </c>
      <c r="E197" s="15" t="s">
        <v>17</v>
      </c>
      <c r="F197" s="15" t="s">
        <v>18</v>
      </c>
      <c r="G197" s="15"/>
      <c r="H197" s="15" t="b">
        <v>0</v>
      </c>
      <c r="I197" s="17" t="s">
        <v>19</v>
      </c>
      <c r="J197" s="15" t="s">
        <v>16</v>
      </c>
      <c r="K197" s="15" t="s">
        <v>25</v>
      </c>
      <c r="L197" s="15"/>
      <c r="M197" s="15" t="s">
        <v>26</v>
      </c>
      <c r="N197" t="str">
        <f t="shared" si="6"/>
        <v>ActivityOnlineCourse(ST)-OnlineCourse(CSOD)Active</v>
      </c>
      <c r="O197" t="b">
        <f t="shared" si="7"/>
        <v>0</v>
      </c>
      <c r="P197" t="e">
        <f>VLOOKUP(N197,'[1]Sheet1 (2)'!$L:$M,2,0)</f>
        <v>#N/A</v>
      </c>
    </row>
    <row r="198" spans="1:16" ht="48" hidden="1" x14ac:dyDescent="0.2">
      <c r="A198" s="13" t="s">
        <v>46</v>
      </c>
      <c r="B198" s="13" t="s">
        <v>260</v>
      </c>
      <c r="C198" s="13" t="s">
        <v>246</v>
      </c>
      <c r="D198" s="15" t="s">
        <v>61</v>
      </c>
      <c r="E198" s="15" t="s">
        <v>17</v>
      </c>
      <c r="F198" s="15" t="s">
        <v>11</v>
      </c>
      <c r="G198" s="15"/>
      <c r="H198" s="20" t="s">
        <v>298</v>
      </c>
      <c r="I198" s="15"/>
      <c r="J198" s="15" t="s">
        <v>112</v>
      </c>
      <c r="K198" s="15" t="s">
        <v>13</v>
      </c>
      <c r="L198" s="15">
        <v>50</v>
      </c>
      <c r="M198" s="15"/>
      <c r="N198" t="str">
        <f t="shared" si="6"/>
        <v>ActivityOnlineCourse(ST)-OnlineCourse(CSOD)Default Language</v>
      </c>
      <c r="O198" t="str">
        <f t="shared" si="7"/>
        <v>IF Language == "en-US" THEN LanguageID = 1   ELSE IF Language == "en-GB" THEN LanguageID = 2   ELSE IF Language == "fr-FR" THEN LanguageID = 13   ELSE IF Language == "es-MX" THEN LanguageID = 14   ELSE LanguageID = 1</v>
      </c>
      <c r="P198" t="e">
        <f>VLOOKUP(N198,'[1]Sheet1 (2)'!$L:$M,2,0)</f>
        <v>#N/A</v>
      </c>
    </row>
    <row r="199" spans="1:16" hidden="1" x14ac:dyDescent="0.2">
      <c r="A199" s="13" t="s">
        <v>46</v>
      </c>
      <c r="B199" s="13" t="s">
        <v>260</v>
      </c>
      <c r="C199" s="13" t="s">
        <v>246</v>
      </c>
      <c r="D199" s="15" t="s">
        <v>251</v>
      </c>
      <c r="E199" s="15" t="s">
        <v>17</v>
      </c>
      <c r="F199" s="15" t="s">
        <v>11</v>
      </c>
      <c r="G199" s="15">
        <v>5000</v>
      </c>
      <c r="H199" s="15"/>
      <c r="I199" s="15"/>
      <c r="J199" s="15" t="s">
        <v>252</v>
      </c>
      <c r="K199" s="15" t="s">
        <v>13</v>
      </c>
      <c r="L199" s="15">
        <v>4000</v>
      </c>
      <c r="M199" s="15"/>
      <c r="N199" t="str">
        <f t="shared" ref="N199:N262" si="8">_xlfn.CONCAT(A199,C199,D199)</f>
        <v>ActivityOnlineCourse(ST)-OnlineCourse(CSOD)Online Course Description</v>
      </c>
      <c r="O199" t="str">
        <f t="shared" si="7"/>
        <v/>
      </c>
      <c r="P199" t="str">
        <f>VLOOKUP(N199,'[1]Sheet1 (2)'!$L:$M,2,0)</f>
        <v/>
      </c>
    </row>
    <row r="200" spans="1:16" hidden="1" x14ac:dyDescent="0.2">
      <c r="A200" s="13" t="s">
        <v>46</v>
      </c>
      <c r="B200" s="13" t="s">
        <v>260</v>
      </c>
      <c r="C200" s="13" t="s">
        <v>246</v>
      </c>
      <c r="D200" s="15" t="s">
        <v>253</v>
      </c>
      <c r="E200" s="15" t="s">
        <v>10</v>
      </c>
      <c r="F200" s="15" t="s">
        <v>11</v>
      </c>
      <c r="G200" s="15">
        <v>2000</v>
      </c>
      <c r="H200" s="15"/>
      <c r="I200" s="15"/>
      <c r="J200" s="15"/>
      <c r="K200" s="15"/>
      <c r="L200" s="15"/>
      <c r="M200" s="15"/>
      <c r="N200" t="str">
        <f t="shared" si="8"/>
        <v>ActivityOnlineCourse(ST)-OnlineCourse(CSOD)File Name*</v>
      </c>
      <c r="O200" t="str">
        <f t="shared" si="7"/>
        <v/>
      </c>
      <c r="P200" t="str">
        <f>VLOOKUP(N200,'[1]Sheet1 (2)'!$L:$M,2,0)</f>
        <v/>
      </c>
    </row>
    <row r="201" spans="1:16" hidden="1" x14ac:dyDescent="0.2">
      <c r="A201" s="13" t="s">
        <v>46</v>
      </c>
      <c r="B201" s="13" t="s">
        <v>260</v>
      </c>
      <c r="C201" s="13" t="s">
        <v>246</v>
      </c>
      <c r="D201" s="15" t="s">
        <v>41</v>
      </c>
      <c r="E201" s="15" t="s">
        <v>17</v>
      </c>
      <c r="F201" s="15" t="s">
        <v>11</v>
      </c>
      <c r="G201" s="15">
        <v>128</v>
      </c>
      <c r="H201" s="15"/>
      <c r="I201" s="15"/>
      <c r="J201" s="15"/>
      <c r="K201" s="15"/>
      <c r="L201" s="15"/>
      <c r="M201" s="15"/>
      <c r="N201" t="str">
        <f t="shared" si="8"/>
        <v>ActivityOnlineCourse(ST)-OnlineCourse(CSOD)Created/Modified By</v>
      </c>
      <c r="O201" t="str">
        <f t="shared" si="7"/>
        <v/>
      </c>
      <c r="P201" t="e">
        <f>VLOOKUP(N201,'[1]Sheet1 (2)'!$L:$M,2,0)</f>
        <v>#N/A</v>
      </c>
    </row>
    <row r="202" spans="1:16" hidden="1" x14ac:dyDescent="0.2">
      <c r="A202" s="13" t="s">
        <v>46</v>
      </c>
      <c r="B202" s="13" t="s">
        <v>260</v>
      </c>
      <c r="C202" s="13" t="s">
        <v>246</v>
      </c>
      <c r="D202" s="15" t="s">
        <v>113</v>
      </c>
      <c r="E202" s="15" t="s">
        <v>17</v>
      </c>
      <c r="F202" s="15" t="s">
        <v>254</v>
      </c>
      <c r="G202" s="15"/>
      <c r="H202" s="15"/>
      <c r="I202" s="15"/>
      <c r="J202" s="15" t="s">
        <v>115</v>
      </c>
      <c r="K202" s="15" t="s">
        <v>116</v>
      </c>
      <c r="L202" s="15"/>
      <c r="M202" s="15"/>
      <c r="N202" t="str">
        <f t="shared" si="8"/>
        <v>ActivityOnlineCourse(ST)-OnlineCourse(CSOD)Training Hours</v>
      </c>
      <c r="O202" t="str">
        <f t="shared" si="7"/>
        <v/>
      </c>
      <c r="P202" t="str">
        <f>VLOOKUP(N202,'[1]Sheet1 (2)'!$L:$M,2,0)</f>
        <v/>
      </c>
    </row>
    <row r="203" spans="1:16" hidden="1" x14ac:dyDescent="0.2">
      <c r="A203" s="13" t="s">
        <v>46</v>
      </c>
      <c r="B203" s="13" t="s">
        <v>260</v>
      </c>
      <c r="C203" s="13" t="s">
        <v>246</v>
      </c>
      <c r="D203" s="15" t="s">
        <v>71</v>
      </c>
      <c r="E203" s="15" t="s">
        <v>17</v>
      </c>
      <c r="F203" s="15" t="s">
        <v>11</v>
      </c>
      <c r="G203" s="15">
        <v>2000</v>
      </c>
      <c r="H203" s="15"/>
      <c r="I203" s="15"/>
      <c r="J203" s="15"/>
      <c r="K203" s="15"/>
      <c r="L203" s="15"/>
      <c r="M203" s="15"/>
      <c r="N203" t="str">
        <f t="shared" si="8"/>
        <v>ActivityOnlineCourse(ST)-OnlineCourse(CSOD)Available Languages</v>
      </c>
      <c r="O203" t="str">
        <f t="shared" si="7"/>
        <v/>
      </c>
      <c r="P203" t="e">
        <f>VLOOKUP(N203,'[1]Sheet1 (2)'!$L:$M,2,0)</f>
        <v>#N/A</v>
      </c>
    </row>
    <row r="204" spans="1:16" hidden="1" x14ac:dyDescent="0.2">
      <c r="A204" s="13" t="s">
        <v>46</v>
      </c>
      <c r="B204" s="13" t="s">
        <v>260</v>
      </c>
      <c r="C204" s="13" t="s">
        <v>246</v>
      </c>
      <c r="D204" s="15" t="s">
        <v>70</v>
      </c>
      <c r="E204" s="15" t="s">
        <v>17</v>
      </c>
      <c r="F204" s="15" t="s">
        <v>11</v>
      </c>
      <c r="G204" s="15">
        <v>1000</v>
      </c>
      <c r="H204" s="15"/>
      <c r="I204" s="15"/>
      <c r="J204" s="15"/>
      <c r="K204" s="15"/>
      <c r="L204" s="15"/>
      <c r="M204" s="15"/>
      <c r="N204" t="str">
        <f t="shared" si="8"/>
        <v>ActivityOnlineCourse(ST)-OnlineCourse(CSOD)Keywords</v>
      </c>
      <c r="O204" t="str">
        <f t="shared" si="7"/>
        <v/>
      </c>
      <c r="P204" t="e">
        <f>VLOOKUP(N204,'[1]Sheet1 (2)'!$L:$M,2,0)</f>
        <v>#N/A</v>
      </c>
    </row>
    <row r="205" spans="1:16" ht="409.6" hidden="1" x14ac:dyDescent="0.2">
      <c r="A205" s="13" t="s">
        <v>46</v>
      </c>
      <c r="B205" s="13" t="s">
        <v>260</v>
      </c>
      <c r="C205" s="13" t="s">
        <v>246</v>
      </c>
      <c r="D205" s="15" t="s">
        <v>124</v>
      </c>
      <c r="E205" s="15" t="s">
        <v>10</v>
      </c>
      <c r="F205" s="15" t="s">
        <v>11</v>
      </c>
      <c r="G205" s="15"/>
      <c r="H205" s="20" t="s">
        <v>299</v>
      </c>
      <c r="I205" s="15"/>
      <c r="J205" s="15" t="s">
        <v>63</v>
      </c>
      <c r="K205" s="15" t="s">
        <v>13</v>
      </c>
      <c r="L205" s="15">
        <v>100</v>
      </c>
      <c r="M205" s="15"/>
      <c r="N205" t="str">
        <f t="shared" si="8"/>
        <v>ActivityOnlineCourse(ST)-OnlineCourse(CSOD)Subject IDs</v>
      </c>
      <c r="O205" t="str">
        <f t="shared" si="7"/>
        <v xml:space="preserve"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
ELSE </v>
      </c>
      <c r="P205" t="e">
        <f>VLOOKUP(N205,'[1]Sheet1 (2)'!$L:$M,2,0)</f>
        <v>#N/A</v>
      </c>
    </row>
    <row r="206" spans="1:16" hidden="1" x14ac:dyDescent="0.2">
      <c r="A206" s="13" t="s">
        <v>46</v>
      </c>
      <c r="B206" s="13" t="s">
        <v>260</v>
      </c>
      <c r="C206" s="13" t="s">
        <v>246</v>
      </c>
      <c r="D206" s="15" t="s">
        <v>210</v>
      </c>
      <c r="E206" s="15" t="s">
        <v>17</v>
      </c>
      <c r="F206" s="15" t="s">
        <v>11</v>
      </c>
      <c r="G206" s="15">
        <v>2000</v>
      </c>
      <c r="H206" s="15"/>
      <c r="I206" s="15"/>
      <c r="J206" s="15"/>
      <c r="K206" s="15"/>
      <c r="L206" s="15"/>
      <c r="M206" s="15"/>
      <c r="N206" t="str">
        <f t="shared" si="8"/>
        <v>ActivityOnlineCourse(ST)-OnlineCourse(CSOD)Competency IDs</v>
      </c>
      <c r="O206" t="str">
        <f t="shared" si="7"/>
        <v/>
      </c>
      <c r="P206" t="str">
        <f>VLOOKUP(N206,'[1]Sheet1 (2)'!$L:$M,2,0)</f>
        <v/>
      </c>
    </row>
    <row r="207" spans="1:16" ht="48" hidden="1" x14ac:dyDescent="0.2">
      <c r="A207" s="13" t="s">
        <v>46</v>
      </c>
      <c r="B207" s="13" t="s">
        <v>260</v>
      </c>
      <c r="C207" s="13" t="s">
        <v>246</v>
      </c>
      <c r="D207" s="15" t="s">
        <v>72</v>
      </c>
      <c r="E207" s="15" t="s">
        <v>17</v>
      </c>
      <c r="F207" s="15" t="s">
        <v>18</v>
      </c>
      <c r="G207" s="15"/>
      <c r="H207" s="15"/>
      <c r="I207" s="17" t="s">
        <v>19</v>
      </c>
      <c r="J207" s="15"/>
      <c r="K207" s="15"/>
      <c r="L207" s="15"/>
      <c r="M207" s="15"/>
      <c r="N207" t="str">
        <f t="shared" si="8"/>
        <v>ActivityOnlineCourse(ST)-OnlineCourse(CSOD)Availability to All Users</v>
      </c>
      <c r="O207" t="str">
        <f t="shared" si="7"/>
        <v/>
      </c>
      <c r="P207" t="e">
        <f>VLOOKUP(N207,'[1]Sheet1 (2)'!$L:$M,2,0)</f>
        <v>#N/A</v>
      </c>
    </row>
    <row r="208" spans="1:16" hidden="1" x14ac:dyDescent="0.2">
      <c r="A208" s="13" t="s">
        <v>46</v>
      </c>
      <c r="B208" s="13" t="s">
        <v>260</v>
      </c>
      <c r="C208" s="13" t="s">
        <v>246</v>
      </c>
      <c r="D208" s="15" t="s">
        <v>73</v>
      </c>
      <c r="E208" s="15" t="s">
        <v>17</v>
      </c>
      <c r="F208" s="15" t="s">
        <v>11</v>
      </c>
      <c r="G208" s="15">
        <v>200</v>
      </c>
      <c r="H208" s="15"/>
      <c r="I208" s="15"/>
      <c r="J208" s="15"/>
      <c r="K208" s="15"/>
      <c r="L208" s="15"/>
      <c r="M208" s="15"/>
      <c r="N208" t="str">
        <f t="shared" si="8"/>
        <v>ActivityOnlineCourse(ST)-OnlineCourse(CSOD)Availability to Specific Users</v>
      </c>
      <c r="O208" t="str">
        <f t="shared" si="7"/>
        <v/>
      </c>
      <c r="P208" t="e">
        <f>VLOOKUP(N208,'[1]Sheet1 (2)'!$L:$M,2,0)</f>
        <v>#N/A</v>
      </c>
    </row>
    <row r="209" spans="1:16" hidden="1" x14ac:dyDescent="0.2">
      <c r="A209" s="13" t="s">
        <v>46</v>
      </c>
      <c r="B209" s="13" t="s">
        <v>260</v>
      </c>
      <c r="C209" s="13" t="s">
        <v>246</v>
      </c>
      <c r="D209" s="15" t="s">
        <v>74</v>
      </c>
      <c r="E209" s="15" t="s">
        <v>17</v>
      </c>
      <c r="F209" s="15" t="s">
        <v>11</v>
      </c>
      <c r="G209" s="15">
        <v>200</v>
      </c>
      <c r="H209" s="15"/>
      <c r="I209" s="15"/>
      <c r="J209" s="15"/>
      <c r="K209" s="15"/>
      <c r="L209" s="15"/>
      <c r="M209" s="15"/>
      <c r="N209" t="str">
        <f t="shared" si="8"/>
        <v>ActivityOnlineCourse(ST)-OnlineCourse(CSOD)Availability to OU‡</v>
      </c>
      <c r="O209" t="str">
        <f t="shared" si="7"/>
        <v/>
      </c>
      <c r="P209" t="e">
        <f>VLOOKUP(N209,'[1]Sheet1 (2)'!$L:$M,2,0)</f>
        <v>#N/A</v>
      </c>
    </row>
    <row r="210" spans="1:16" hidden="1" x14ac:dyDescent="0.2">
      <c r="A210" s="13" t="s">
        <v>46</v>
      </c>
      <c r="B210" s="13" t="s">
        <v>260</v>
      </c>
      <c r="C210" s="13" t="s">
        <v>246</v>
      </c>
      <c r="D210" s="15" t="s">
        <v>75</v>
      </c>
      <c r="E210" s="15" t="s">
        <v>17</v>
      </c>
      <c r="F210" s="15" t="s">
        <v>11</v>
      </c>
      <c r="G210" s="15">
        <v>200</v>
      </c>
      <c r="H210" s="15"/>
      <c r="I210" s="15"/>
      <c r="J210" s="15"/>
      <c r="K210" s="15"/>
      <c r="L210" s="15"/>
      <c r="M210" s="15"/>
      <c r="N210" t="str">
        <f t="shared" si="8"/>
        <v>ActivityOnlineCourse(ST)-OnlineCourse(CSOD)Availability OU Type</v>
      </c>
      <c r="O210" t="str">
        <f t="shared" si="7"/>
        <v/>
      </c>
      <c r="P210" t="e">
        <f>VLOOKUP(N210,'[1]Sheet1 (2)'!$L:$M,2,0)</f>
        <v>#N/A</v>
      </c>
    </row>
    <row r="211" spans="1:16" s="4" customFormat="1" ht="48" hidden="1" x14ac:dyDescent="0.2">
      <c r="A211" s="9" t="s">
        <v>46</v>
      </c>
      <c r="B211" s="9" t="s">
        <v>260</v>
      </c>
      <c r="C211" s="9" t="s">
        <v>246</v>
      </c>
      <c r="D211" s="26" t="s">
        <v>76</v>
      </c>
      <c r="E211" s="26" t="s">
        <v>17</v>
      </c>
      <c r="F211" s="26" t="s">
        <v>18</v>
      </c>
      <c r="G211" s="26"/>
      <c r="H211" s="28" t="b">
        <v>0</v>
      </c>
      <c r="I211" s="27" t="s">
        <v>19</v>
      </c>
      <c r="J211" s="26"/>
      <c r="K211" s="26"/>
      <c r="L211" s="26"/>
      <c r="M211" s="26"/>
      <c r="N211" t="str">
        <f t="shared" si="8"/>
        <v>ActivityOnlineCourse(ST)-OnlineCourse(CSOD)Register Upon Approval</v>
      </c>
      <c r="O211" t="b">
        <f t="shared" si="7"/>
        <v>0</v>
      </c>
      <c r="P211" t="e">
        <f>VLOOKUP(N211,'[1]Sheet1 (2)'!$L:$M,2,0)</f>
        <v>#N/A</v>
      </c>
    </row>
    <row r="212" spans="1:16" ht="48" hidden="1" x14ac:dyDescent="0.2">
      <c r="A212" s="13" t="s">
        <v>46</v>
      </c>
      <c r="B212" s="13" t="s">
        <v>260</v>
      </c>
      <c r="C212" s="13" t="s">
        <v>246</v>
      </c>
      <c r="D212" s="15" t="s">
        <v>77</v>
      </c>
      <c r="E212" s="15" t="s">
        <v>17</v>
      </c>
      <c r="F212" s="15" t="s">
        <v>18</v>
      </c>
      <c r="G212" s="15"/>
      <c r="H212" s="22" t="b">
        <v>0</v>
      </c>
      <c r="I212" s="17" t="s">
        <v>19</v>
      </c>
      <c r="J212" s="15"/>
      <c r="K212" s="15"/>
      <c r="L212" s="15"/>
      <c r="M212" s="15"/>
      <c r="N212" t="str">
        <f t="shared" si="8"/>
        <v>ActivityOnlineCourse(ST)-OnlineCourse(CSOD)Pre-Approved</v>
      </c>
      <c r="O212" t="b">
        <f t="shared" si="7"/>
        <v>0</v>
      </c>
      <c r="P212" t="e">
        <f>VLOOKUP(N212,'[1]Sheet1 (2)'!$L:$M,2,0)</f>
        <v>#N/A</v>
      </c>
    </row>
    <row r="213" spans="1:16" ht="48" hidden="1" x14ac:dyDescent="0.2">
      <c r="A213" s="13" t="s">
        <v>46</v>
      </c>
      <c r="B213" s="13" t="s">
        <v>260</v>
      </c>
      <c r="C213" s="13" t="s">
        <v>246</v>
      </c>
      <c r="D213" s="15" t="s">
        <v>125</v>
      </c>
      <c r="E213" s="15" t="s">
        <v>17</v>
      </c>
      <c r="F213" s="15" t="s">
        <v>18</v>
      </c>
      <c r="G213" s="15"/>
      <c r="H213" s="22" t="b">
        <v>0</v>
      </c>
      <c r="I213" s="17" t="s">
        <v>19</v>
      </c>
      <c r="J213" s="15"/>
      <c r="K213" s="15"/>
      <c r="L213" s="15"/>
      <c r="M213" s="15"/>
      <c r="N213" t="str">
        <f t="shared" si="8"/>
        <v>ActivityOnlineCourse(ST)-OnlineCourse(CSOD)Include Subordinates</v>
      </c>
      <c r="O213" t="b">
        <f t="shared" si="7"/>
        <v>0</v>
      </c>
      <c r="P213" t="e">
        <f>VLOOKUP(N213,'[1]Sheet1 (2)'!$L:$M,2,0)</f>
        <v>#N/A</v>
      </c>
    </row>
    <row r="214" spans="1:16" hidden="1" x14ac:dyDescent="0.2">
      <c r="A214" s="13" t="s">
        <v>46</v>
      </c>
      <c r="B214" s="13" t="s">
        <v>260</v>
      </c>
      <c r="C214" s="13" t="s">
        <v>246</v>
      </c>
      <c r="D214" s="15" t="s">
        <v>80</v>
      </c>
      <c r="E214" s="15" t="s">
        <v>17</v>
      </c>
      <c r="F214" s="15" t="s">
        <v>96</v>
      </c>
      <c r="G214" s="15"/>
      <c r="H214" s="15">
        <v>0</v>
      </c>
      <c r="I214" s="15"/>
      <c r="J214" s="15"/>
      <c r="K214" s="15"/>
      <c r="L214" s="15"/>
      <c r="M214" s="15"/>
      <c r="N214" t="str">
        <f t="shared" si="8"/>
        <v>ActivityOnlineCourse(ST)-OnlineCourse(CSOD)Recurrence</v>
      </c>
      <c r="O214">
        <f t="shared" si="7"/>
        <v>0</v>
      </c>
      <c r="P214" t="e">
        <f>VLOOKUP(N214,'[1]Sheet1 (2)'!$L:$M,2,0)</f>
        <v>#N/A</v>
      </c>
    </row>
    <row r="215" spans="1:16" ht="48" hidden="1" x14ac:dyDescent="0.2">
      <c r="A215" s="13" t="s">
        <v>46</v>
      </c>
      <c r="B215" s="13" t="s">
        <v>260</v>
      </c>
      <c r="C215" s="13" t="s">
        <v>246</v>
      </c>
      <c r="D215" s="15" t="s">
        <v>126</v>
      </c>
      <c r="E215" s="15" t="s">
        <v>17</v>
      </c>
      <c r="F215" s="15" t="s">
        <v>18</v>
      </c>
      <c r="G215" s="15"/>
      <c r="H215" s="22" t="b">
        <v>0</v>
      </c>
      <c r="I215" s="17" t="s">
        <v>19</v>
      </c>
      <c r="J215" s="15"/>
      <c r="K215" s="15"/>
      <c r="L215" s="15"/>
      <c r="M215" s="15"/>
      <c r="N215" t="str">
        <f t="shared" si="8"/>
        <v>ActivityOnlineCourse(ST)-OnlineCourse(CSOD)Mobile</v>
      </c>
      <c r="O215" t="b">
        <f t="shared" si="7"/>
        <v>0</v>
      </c>
      <c r="P215" t="e">
        <f>VLOOKUP(N215,'[1]Sheet1 (2)'!$L:$M,2,0)</f>
        <v>#N/A</v>
      </c>
    </row>
    <row r="216" spans="1:16" hidden="1" x14ac:dyDescent="0.2">
      <c r="A216" s="13" t="s">
        <v>46</v>
      </c>
      <c r="B216" s="13" t="s">
        <v>260</v>
      </c>
      <c r="C216" s="13" t="s">
        <v>246</v>
      </c>
      <c r="D216" s="15" t="s">
        <v>212</v>
      </c>
      <c r="E216" s="15" t="s">
        <v>17</v>
      </c>
      <c r="F216" s="15" t="s">
        <v>11</v>
      </c>
      <c r="G216" s="15">
        <v>2000</v>
      </c>
      <c r="H216" s="15"/>
      <c r="I216" s="15"/>
      <c r="J216" s="15"/>
      <c r="K216" s="15"/>
      <c r="L216" s="15"/>
      <c r="M216" s="15"/>
      <c r="N216" t="str">
        <f t="shared" si="8"/>
        <v>ActivityOnlineCourse(ST)-OnlineCourse(CSOD)Skills</v>
      </c>
      <c r="O216" t="str">
        <f t="shared" si="7"/>
        <v/>
      </c>
      <c r="P216" t="str">
        <f>VLOOKUP(N216,'[1]Sheet1 (2)'!$L:$M,2,0)</f>
        <v/>
      </c>
    </row>
    <row r="217" spans="1:16" hidden="1" x14ac:dyDescent="0.2">
      <c r="A217" s="13" t="s">
        <v>46</v>
      </c>
      <c r="B217" s="13" t="s">
        <v>260</v>
      </c>
      <c r="C217" s="13" t="s">
        <v>246</v>
      </c>
      <c r="D217" s="15" t="s">
        <v>127</v>
      </c>
      <c r="E217" s="15" t="s">
        <v>17</v>
      </c>
      <c r="F217" s="15" t="s">
        <v>96</v>
      </c>
      <c r="G217" s="15">
        <v>999</v>
      </c>
      <c r="H217" s="15"/>
      <c r="I217" s="15"/>
      <c r="J217" s="15" t="s">
        <v>222</v>
      </c>
      <c r="K217" s="15" t="s">
        <v>129</v>
      </c>
      <c r="L217" s="15"/>
      <c r="M217" s="15"/>
      <c r="N217" t="str">
        <f t="shared" si="8"/>
        <v>ActivityOnlineCourse(ST)-OnlineCourse(CSOD)Credits</v>
      </c>
      <c r="O217" t="str">
        <f t="shared" si="7"/>
        <v/>
      </c>
      <c r="P217" t="e">
        <f>VLOOKUP(N217,'[1]Sheet1 (2)'!$L:$M,2,0)</f>
        <v>#N/A</v>
      </c>
    </row>
    <row r="218" spans="1:16" hidden="1" x14ac:dyDescent="0.2">
      <c r="A218" s="13" t="s">
        <v>46</v>
      </c>
      <c r="B218" s="13" t="s">
        <v>260</v>
      </c>
      <c r="C218" s="13" t="s">
        <v>246</v>
      </c>
      <c r="D218" s="15" t="s">
        <v>255</v>
      </c>
      <c r="E218" s="15" t="s">
        <v>17</v>
      </c>
      <c r="F218" s="15" t="s">
        <v>96</v>
      </c>
      <c r="G218" s="15">
        <v>9999</v>
      </c>
      <c r="H218" s="15"/>
      <c r="I218" s="15"/>
      <c r="J218" s="15"/>
      <c r="K218" s="15"/>
      <c r="L218" s="15"/>
      <c r="M218" s="15"/>
      <c r="N218" t="str">
        <f t="shared" si="8"/>
        <v>ActivityOnlineCourse(ST)-OnlineCourse(CSOD)Height Screen Resolution</v>
      </c>
      <c r="O218" t="str">
        <f t="shared" si="7"/>
        <v/>
      </c>
      <c r="P218" t="str">
        <f>VLOOKUP(N218,'[1]Sheet1 (2)'!$L:$M,2,0)</f>
        <v/>
      </c>
    </row>
    <row r="219" spans="1:16" hidden="1" x14ac:dyDescent="0.2">
      <c r="A219" s="13" t="s">
        <v>46</v>
      </c>
      <c r="B219" s="13" t="s">
        <v>260</v>
      </c>
      <c r="C219" s="13" t="s">
        <v>246</v>
      </c>
      <c r="D219" s="15" t="s">
        <v>256</v>
      </c>
      <c r="E219" s="15" t="s">
        <v>17</v>
      </c>
      <c r="F219" s="15" t="s">
        <v>96</v>
      </c>
      <c r="G219" s="15">
        <v>9999</v>
      </c>
      <c r="H219" s="15"/>
      <c r="I219" s="15"/>
      <c r="J219" s="15"/>
      <c r="K219" s="15"/>
      <c r="L219" s="15"/>
      <c r="M219" s="15"/>
      <c r="N219" t="str">
        <f t="shared" si="8"/>
        <v>ActivityOnlineCourse(ST)-OnlineCourse(CSOD)Width Screen Resolution</v>
      </c>
      <c r="O219" t="str">
        <f t="shared" si="7"/>
        <v/>
      </c>
      <c r="P219" t="str">
        <f>VLOOKUP(N219,'[1]Sheet1 (2)'!$L:$M,2,0)</f>
        <v/>
      </c>
    </row>
    <row r="220" spans="1:16" ht="48" hidden="1" x14ac:dyDescent="0.2">
      <c r="A220" s="13" t="s">
        <v>46</v>
      </c>
      <c r="B220" s="13" t="s">
        <v>260</v>
      </c>
      <c r="C220" s="13" t="s">
        <v>246</v>
      </c>
      <c r="D220" s="15" t="s">
        <v>257</v>
      </c>
      <c r="E220" s="15" t="s">
        <v>17</v>
      </c>
      <c r="F220" s="15" t="s">
        <v>18</v>
      </c>
      <c r="G220" s="15"/>
      <c r="H220" s="22" t="b">
        <v>0</v>
      </c>
      <c r="I220" s="17" t="s">
        <v>19</v>
      </c>
      <c r="J220" s="15"/>
      <c r="K220" s="15"/>
      <c r="L220" s="15"/>
      <c r="M220" s="15"/>
      <c r="N220" t="str">
        <f t="shared" si="8"/>
        <v>ActivityOnlineCourse(ST)-OnlineCourse(CSOD)Available Offline - Allow download for offline consumption</v>
      </c>
      <c r="O220" t="b">
        <f t="shared" si="7"/>
        <v>0</v>
      </c>
      <c r="P220" t="b">
        <f>VLOOKUP(N220,'[1]Sheet1 (2)'!$L:$M,2,0)</f>
        <v>0</v>
      </c>
    </row>
    <row r="221" spans="1:16" ht="48" hidden="1" x14ac:dyDescent="0.2">
      <c r="A221" s="13" t="s">
        <v>46</v>
      </c>
      <c r="B221" s="13" t="s">
        <v>260</v>
      </c>
      <c r="C221" s="13" t="s">
        <v>246</v>
      </c>
      <c r="D221" s="15" t="s">
        <v>258</v>
      </c>
      <c r="E221" s="15" t="s">
        <v>17</v>
      </c>
      <c r="F221" s="15" t="s">
        <v>18</v>
      </c>
      <c r="G221" s="15"/>
      <c r="H221" s="22" t="b">
        <v>0</v>
      </c>
      <c r="I221" s="17" t="s">
        <v>19</v>
      </c>
      <c r="J221" s="15"/>
      <c r="K221" s="15"/>
      <c r="L221" s="15"/>
      <c r="M221" s="15"/>
      <c r="N221" t="str">
        <f t="shared" si="8"/>
        <v>ActivityOnlineCourse(ST)-OnlineCourse(CSOD)Available Offline - Allow launch from offline network location‡</v>
      </c>
      <c r="O221" t="b">
        <f t="shared" si="7"/>
        <v>0</v>
      </c>
      <c r="P221" t="b">
        <f>VLOOKUP(N221,'[1]Sheet1 (2)'!$L:$M,2,0)</f>
        <v>0</v>
      </c>
    </row>
    <row r="222" spans="1:16" ht="48" hidden="1" x14ac:dyDescent="0.2">
      <c r="A222" s="13" t="s">
        <v>46</v>
      </c>
      <c r="B222" s="13" t="s">
        <v>260</v>
      </c>
      <c r="C222" s="13" t="s">
        <v>246</v>
      </c>
      <c r="D222" s="15" t="s">
        <v>259</v>
      </c>
      <c r="E222" s="15" t="s">
        <v>17</v>
      </c>
      <c r="F222" s="15" t="s">
        <v>18</v>
      </c>
      <c r="G222" s="15"/>
      <c r="H222" s="22" t="b">
        <v>0</v>
      </c>
      <c r="I222" s="17" t="s">
        <v>19</v>
      </c>
      <c r="J222" s="15"/>
      <c r="K222" s="15"/>
      <c r="L222" s="15"/>
      <c r="M222" s="15"/>
      <c r="N222" t="str">
        <f t="shared" si="8"/>
        <v>ActivityOnlineCourse(ST)-OnlineCourse(CSOD)Allow Download</v>
      </c>
      <c r="O222" t="b">
        <f t="shared" si="7"/>
        <v>0</v>
      </c>
      <c r="P222" t="b">
        <f>VLOOKUP(N222,'[1]Sheet1 (2)'!$L:$M,2,0)</f>
        <v>0</v>
      </c>
    </row>
    <row r="223" spans="1:16" hidden="1" x14ac:dyDescent="0.2">
      <c r="A223" s="13" t="s">
        <v>46</v>
      </c>
      <c r="B223" s="13" t="s">
        <v>290</v>
      </c>
      <c r="C223" s="13" t="s">
        <v>261</v>
      </c>
      <c r="D223" s="15" t="s">
        <v>262</v>
      </c>
      <c r="E223" s="15" t="s">
        <v>10</v>
      </c>
      <c r="F223" s="15" t="s">
        <v>11</v>
      </c>
      <c r="G223" s="15">
        <v>100</v>
      </c>
      <c r="H223" s="15"/>
      <c r="I223" s="15"/>
      <c r="J223" s="15" t="s">
        <v>94</v>
      </c>
      <c r="K223" s="15" t="s">
        <v>13</v>
      </c>
      <c r="L223" s="15">
        <v>255</v>
      </c>
      <c r="M223" s="15"/>
      <c r="N223" t="str">
        <f t="shared" si="8"/>
        <v>ActivityQuickAssessment(ST)-Test(CSOD)Test ID*</v>
      </c>
      <c r="O223" t="str">
        <f t="shared" si="7"/>
        <v/>
      </c>
      <c r="P223" t="str">
        <f>VLOOKUP(N223,'[1]Sheet1 (2)'!$L:$M,2,0)</f>
        <v/>
      </c>
    </row>
    <row r="224" spans="1:16" hidden="1" x14ac:dyDescent="0.2">
      <c r="A224" s="13" t="s">
        <v>46</v>
      </c>
      <c r="B224" s="13" t="s">
        <v>290</v>
      </c>
      <c r="C224" s="13" t="s">
        <v>261</v>
      </c>
      <c r="D224" s="15" t="s">
        <v>263</v>
      </c>
      <c r="E224" s="15" t="s">
        <v>10</v>
      </c>
      <c r="F224" s="15" t="s">
        <v>11</v>
      </c>
      <c r="G224" s="15">
        <v>500</v>
      </c>
      <c r="H224" s="15"/>
      <c r="I224" s="15"/>
      <c r="J224" s="15" t="s">
        <v>54</v>
      </c>
      <c r="K224" s="15" t="s">
        <v>13</v>
      </c>
      <c r="L224" s="15">
        <v>300</v>
      </c>
      <c r="M224" s="15"/>
      <c r="N224" t="str">
        <f t="shared" si="8"/>
        <v>ActivityQuickAssessment(ST)-Test(CSOD)Test Title*</v>
      </c>
      <c r="O224" t="str">
        <f t="shared" si="7"/>
        <v/>
      </c>
      <c r="P224" t="str">
        <f>VLOOKUP(N224,'[1]Sheet1 (2)'!$L:$M,2,0)</f>
        <v/>
      </c>
    </row>
    <row r="225" spans="1:16" hidden="1" x14ac:dyDescent="0.2">
      <c r="A225" s="13" t="s">
        <v>46</v>
      </c>
      <c r="B225" s="13" t="s">
        <v>290</v>
      </c>
      <c r="C225" s="13" t="s">
        <v>261</v>
      </c>
      <c r="D225" s="15" t="s">
        <v>55</v>
      </c>
      <c r="E225" s="15" t="s">
        <v>10</v>
      </c>
      <c r="F225" s="15" t="s">
        <v>11</v>
      </c>
      <c r="G225" s="15">
        <v>100</v>
      </c>
      <c r="H225" s="15" t="s">
        <v>264</v>
      </c>
      <c r="I225" s="15"/>
      <c r="J225" s="15" t="s">
        <v>57</v>
      </c>
      <c r="K225" s="15" t="s">
        <v>13</v>
      </c>
      <c r="L225" s="15">
        <v>100</v>
      </c>
      <c r="M225" s="15"/>
      <c r="N225" t="str">
        <f t="shared" si="8"/>
        <v>ActivityQuickAssessment(ST)-Test(CSOD)Vendor/Provider*</v>
      </c>
      <c r="O225" t="str">
        <f t="shared" si="7"/>
        <v>Assessment</v>
      </c>
      <c r="P225" t="e">
        <f>VLOOKUP(N225,'[1]Sheet1 (2)'!$L:$M,2,0)</f>
        <v>#N/A</v>
      </c>
    </row>
    <row r="226" spans="1:16" hidden="1" x14ac:dyDescent="0.2">
      <c r="A226" s="13" t="s">
        <v>46</v>
      </c>
      <c r="B226" s="13" t="s">
        <v>290</v>
      </c>
      <c r="C226" s="13" t="s">
        <v>261</v>
      </c>
      <c r="D226" s="15" t="s">
        <v>265</v>
      </c>
      <c r="E226" s="15" t="s">
        <v>10</v>
      </c>
      <c r="F226" s="15" t="s">
        <v>11</v>
      </c>
      <c r="G226" s="15"/>
      <c r="H226" s="15" t="s">
        <v>59</v>
      </c>
      <c r="I226" s="15" t="s">
        <v>60</v>
      </c>
      <c r="J226" s="15"/>
      <c r="K226" s="15"/>
      <c r="L226" s="15"/>
      <c r="M226" s="15"/>
      <c r="N226" t="str">
        <f t="shared" si="8"/>
        <v>ActivityQuickAssessment(ST)-Test(CSOD)Provider Type*</v>
      </c>
      <c r="O226" t="str">
        <f t="shared" si="7"/>
        <v>ONLINE</v>
      </c>
      <c r="P226" t="e">
        <f>VLOOKUP(N226,'[1]Sheet1 (2)'!$L:$M,2,0)</f>
        <v>#N/A</v>
      </c>
    </row>
    <row r="227" spans="1:16" ht="48" hidden="1" x14ac:dyDescent="0.2">
      <c r="A227" s="13" t="s">
        <v>46</v>
      </c>
      <c r="B227" s="13" t="s">
        <v>290</v>
      </c>
      <c r="C227" s="13" t="s">
        <v>261</v>
      </c>
      <c r="D227" s="15" t="s">
        <v>16</v>
      </c>
      <c r="E227" s="15" t="s">
        <v>17</v>
      </c>
      <c r="F227" s="15" t="s">
        <v>18</v>
      </c>
      <c r="G227" s="15"/>
      <c r="H227" s="15" t="b">
        <v>0</v>
      </c>
      <c r="I227" s="17" t="s">
        <v>19</v>
      </c>
      <c r="J227" s="15" t="s">
        <v>16</v>
      </c>
      <c r="K227" s="15" t="s">
        <v>172</v>
      </c>
      <c r="L227" s="15"/>
      <c r="M227" s="15" t="s">
        <v>26</v>
      </c>
      <c r="N227" t="str">
        <f t="shared" si="8"/>
        <v>ActivityQuickAssessment(ST)-Test(CSOD)Active</v>
      </c>
      <c r="O227" t="b">
        <f t="shared" si="7"/>
        <v>0</v>
      </c>
      <c r="P227" t="e">
        <f>VLOOKUP(N227,'[1]Sheet1 (2)'!$L:$M,2,0)</f>
        <v>#N/A</v>
      </c>
    </row>
    <row r="228" spans="1:16" s="21" customFormat="1" ht="48" hidden="1" x14ac:dyDescent="0.2">
      <c r="A228" s="23" t="s">
        <v>46</v>
      </c>
      <c r="B228" s="23" t="s">
        <v>290</v>
      </c>
      <c r="C228" s="23" t="s">
        <v>261</v>
      </c>
      <c r="D228" s="19" t="s">
        <v>61</v>
      </c>
      <c r="E228" s="19" t="s">
        <v>17</v>
      </c>
      <c r="F228" s="19" t="s">
        <v>96</v>
      </c>
      <c r="G228" s="19"/>
      <c r="H228" s="20" t="s">
        <v>298</v>
      </c>
      <c r="I228" s="19"/>
      <c r="J228" s="19" t="s">
        <v>112</v>
      </c>
      <c r="K228" s="19" t="s">
        <v>13</v>
      </c>
      <c r="L228" s="19">
        <v>50</v>
      </c>
      <c r="M228" s="19"/>
      <c r="N228" t="str">
        <f t="shared" si="8"/>
        <v>ActivityQuickAssessment(ST)-Test(CSOD)Default Language</v>
      </c>
      <c r="O228" t="str">
        <f t="shared" si="7"/>
        <v>IF Language == "en-US" THEN LanguageID = 1   ELSE IF Language == "en-GB" THEN LanguageID = 2   ELSE IF Language == "fr-FR" THEN LanguageID = 13   ELSE IF Language == "es-MX" THEN LanguageID = 14   ELSE LanguageID = 1</v>
      </c>
      <c r="P228" t="e">
        <f>VLOOKUP(N228,'[1]Sheet1 (2)'!$L:$M,2,0)</f>
        <v>#N/A</v>
      </c>
    </row>
    <row r="229" spans="1:16" hidden="1" x14ac:dyDescent="0.2">
      <c r="A229" s="13" t="s">
        <v>46</v>
      </c>
      <c r="B229" s="13" t="s">
        <v>290</v>
      </c>
      <c r="C229" s="13" t="s">
        <v>261</v>
      </c>
      <c r="D229" s="15" t="s">
        <v>266</v>
      </c>
      <c r="E229" s="15" t="s">
        <v>17</v>
      </c>
      <c r="F229" s="15" t="s">
        <v>11</v>
      </c>
      <c r="G229" s="15">
        <v>5000</v>
      </c>
      <c r="H229" s="15"/>
      <c r="I229" s="15"/>
      <c r="J229" s="15" t="s">
        <v>118</v>
      </c>
      <c r="K229" s="15" t="s">
        <v>13</v>
      </c>
      <c r="L229" s="15">
        <v>4000</v>
      </c>
      <c r="M229" s="15"/>
      <c r="N229" t="str">
        <f t="shared" si="8"/>
        <v>ActivityQuickAssessment(ST)-Test(CSOD)Test Description</v>
      </c>
      <c r="O229" t="str">
        <f t="shared" si="7"/>
        <v/>
      </c>
      <c r="P229" t="str">
        <f>VLOOKUP(N229,'[1]Sheet1 (2)'!$L:$M,2,0)</f>
        <v/>
      </c>
    </row>
    <row r="230" spans="1:16" hidden="1" x14ac:dyDescent="0.2">
      <c r="A230" s="13" t="s">
        <v>46</v>
      </c>
      <c r="B230" s="13" t="s">
        <v>290</v>
      </c>
      <c r="C230" s="13" t="s">
        <v>261</v>
      </c>
      <c r="D230" s="15" t="s">
        <v>70</v>
      </c>
      <c r="E230" s="15" t="s">
        <v>17</v>
      </c>
      <c r="F230" s="15" t="s">
        <v>11</v>
      </c>
      <c r="G230" s="15">
        <v>1000</v>
      </c>
      <c r="H230" s="15"/>
      <c r="I230" s="15"/>
      <c r="J230" s="15"/>
      <c r="K230" s="15"/>
      <c r="L230" s="15"/>
      <c r="M230" s="15"/>
      <c r="N230" t="str">
        <f t="shared" si="8"/>
        <v>ActivityQuickAssessment(ST)-Test(CSOD)Keywords</v>
      </c>
      <c r="O230" t="str">
        <f t="shared" si="7"/>
        <v/>
      </c>
      <c r="P230" t="e">
        <f>VLOOKUP(N230,'[1]Sheet1 (2)'!$L:$M,2,0)</f>
        <v>#N/A</v>
      </c>
    </row>
    <row r="231" spans="1:16" hidden="1" x14ac:dyDescent="0.2">
      <c r="A231" s="13" t="s">
        <v>46</v>
      </c>
      <c r="B231" s="13" t="s">
        <v>290</v>
      </c>
      <c r="C231" s="13" t="s">
        <v>261</v>
      </c>
      <c r="D231" s="15" t="s">
        <v>71</v>
      </c>
      <c r="E231" s="15" t="s">
        <v>17</v>
      </c>
      <c r="F231" s="15" t="s">
        <v>11</v>
      </c>
      <c r="G231" s="15">
        <v>2000</v>
      </c>
      <c r="H231" s="15"/>
      <c r="I231" s="15"/>
      <c r="J231" s="15"/>
      <c r="K231" s="15"/>
      <c r="L231" s="15"/>
      <c r="M231" s="15"/>
      <c r="N231" t="str">
        <f t="shared" si="8"/>
        <v>ActivityQuickAssessment(ST)-Test(CSOD)Available Languages</v>
      </c>
      <c r="O231" t="str">
        <f t="shared" si="7"/>
        <v/>
      </c>
      <c r="P231" t="e">
        <f>VLOOKUP(N231,'[1]Sheet1 (2)'!$L:$M,2,0)</f>
        <v>#N/A</v>
      </c>
    </row>
    <row r="232" spans="1:16" hidden="1" x14ac:dyDescent="0.2">
      <c r="A232" s="13" t="s">
        <v>46</v>
      </c>
      <c r="B232" s="13" t="s">
        <v>290</v>
      </c>
      <c r="C232" s="13" t="s">
        <v>261</v>
      </c>
      <c r="D232" s="15" t="s">
        <v>113</v>
      </c>
      <c r="E232" s="15" t="s">
        <v>17</v>
      </c>
      <c r="F232" s="15" t="s">
        <v>254</v>
      </c>
      <c r="G232" s="15"/>
      <c r="H232" s="15"/>
      <c r="I232" s="15"/>
      <c r="J232" s="15" t="s">
        <v>115</v>
      </c>
      <c r="K232" s="15" t="s">
        <v>116</v>
      </c>
      <c r="L232" s="15"/>
      <c r="M232" s="15"/>
      <c r="N232" t="str">
        <f t="shared" si="8"/>
        <v>ActivityQuickAssessment(ST)-Test(CSOD)Training Hours</v>
      </c>
      <c r="O232" t="str">
        <f t="shared" si="7"/>
        <v/>
      </c>
      <c r="P232" t="str">
        <f>VLOOKUP(N232,'[1]Sheet1 (2)'!$L:$M,2,0)</f>
        <v/>
      </c>
    </row>
    <row r="233" spans="1:16" hidden="1" x14ac:dyDescent="0.2">
      <c r="A233" s="13" t="s">
        <v>46</v>
      </c>
      <c r="B233" s="13" t="s">
        <v>290</v>
      </c>
      <c r="C233" s="13" t="s">
        <v>261</v>
      </c>
      <c r="D233" s="15" t="s">
        <v>127</v>
      </c>
      <c r="E233" s="15" t="s">
        <v>17</v>
      </c>
      <c r="F233" s="15" t="s">
        <v>96</v>
      </c>
      <c r="G233" s="15">
        <v>999</v>
      </c>
      <c r="H233" s="15">
        <v>0</v>
      </c>
      <c r="I233" s="15"/>
      <c r="J233" s="15" t="s">
        <v>128</v>
      </c>
      <c r="K233" s="15" t="s">
        <v>129</v>
      </c>
      <c r="L233" s="15"/>
      <c r="M233" s="15"/>
      <c r="N233" t="str">
        <f t="shared" si="8"/>
        <v>ActivityQuickAssessment(ST)-Test(CSOD)Credits</v>
      </c>
      <c r="O233">
        <f t="shared" si="7"/>
        <v>0</v>
      </c>
      <c r="P233" t="e">
        <f>VLOOKUP(N233,'[1]Sheet1 (2)'!$L:$M,2,0)</f>
        <v>#N/A</v>
      </c>
    </row>
    <row r="234" spans="1:16" hidden="1" x14ac:dyDescent="0.2">
      <c r="A234" s="13" t="s">
        <v>46</v>
      </c>
      <c r="B234" s="13" t="s">
        <v>290</v>
      </c>
      <c r="C234" s="13" t="s">
        <v>261</v>
      </c>
      <c r="D234" s="15" t="s">
        <v>41</v>
      </c>
      <c r="E234" s="15" t="s">
        <v>17</v>
      </c>
      <c r="F234" s="15" t="s">
        <v>11</v>
      </c>
      <c r="G234" s="15">
        <v>128</v>
      </c>
      <c r="H234" s="15"/>
      <c r="I234" s="15"/>
      <c r="J234" s="15"/>
      <c r="K234" s="15"/>
      <c r="L234" s="15"/>
      <c r="M234" s="15"/>
      <c r="N234" t="str">
        <f t="shared" si="8"/>
        <v>ActivityQuickAssessment(ST)-Test(CSOD)Created/Modified By</v>
      </c>
      <c r="O234" t="str">
        <f t="shared" si="7"/>
        <v/>
      </c>
      <c r="P234" t="e">
        <f>VLOOKUP(N234,'[1]Sheet1 (2)'!$L:$M,2,0)</f>
        <v>#N/A</v>
      </c>
    </row>
    <row r="235" spans="1:16" ht="409.6" hidden="1" x14ac:dyDescent="0.2">
      <c r="A235" s="13" t="s">
        <v>46</v>
      </c>
      <c r="B235" s="13" t="s">
        <v>290</v>
      </c>
      <c r="C235" s="13" t="s">
        <v>261</v>
      </c>
      <c r="D235" s="15" t="s">
        <v>124</v>
      </c>
      <c r="E235" s="15" t="s">
        <v>10</v>
      </c>
      <c r="F235" s="15" t="s">
        <v>11</v>
      </c>
      <c r="G235" s="15"/>
      <c r="H235" s="3" t="s">
        <v>299</v>
      </c>
      <c r="I235" s="15"/>
      <c r="J235" s="15" t="s">
        <v>63</v>
      </c>
      <c r="K235" s="15" t="s">
        <v>13</v>
      </c>
      <c r="L235" s="15">
        <v>100</v>
      </c>
      <c r="M235" s="15"/>
      <c r="N235" t="str">
        <f t="shared" si="8"/>
        <v>ActivityQuickAssessment(ST)-Test(CSOD)Subject IDs</v>
      </c>
      <c r="O235" t="str">
        <f t="shared" si="7"/>
        <v xml:space="preserve">IF Topic == "Software Applications" THEN SubjectID = 532
ELSE IF Topic == "Policy and Compliance" THEN SubjectID = 533
ELSE IF Topic == "Cornerstone Product Training" THEN SubjectID = 534
ELSE IF Topic == "Management Skills" THEN SubjectID = 535
ELSE IF Topic == "Communication &amp; Teamwork" THEN SubjectID = 536
ELSE IF Topic == "Technical Skills" THEN SubjectID = 537
ELSE IF Topic == "Business Skills" THEN SubjectID = 538
ELSE IF Topic == "Compliance" THEN SubjectID = 539
ELSE IF Topic == "IT Skills" THEN SubjectID = 540
ELSE IF Topic == "Certification" THEN SubjectID = 541
ELSE IF Topic == "Collections" THEN SubjectID = 542
ELSE IF Topic == "Skillsoft Aspire" THEN SubjectID = 543
ELSE IF Topic == "Productivity &amp; Collaboration Tools" THEN SubjectID = 544
ELSE IF Topic == "Business Continuity" THEN SubjectID = 545
ELSE IF Topic == "Skillsoft Aspire L&amp;B" THEN SubjectID = 546
ELSE IF Topic == "Change" THEN SubjectID = 547
ELSE IF Topic == "Communications Skills" THEN SubjectID = 548
ELSE IF Topic == "Finance and Accounting" THEN SubjectID = 549
ELSE IF Topic == "Human Resources" THEN SubjectID = 550
ELSE IF Topic == "Industry Overviews" THEN SubjectID = 551
ELSE IF Topic == "Leadership" THEN SubjectID = 552
ELSE IF Topic == "Management" THEN SubjectID = 553
ELSE IF Topic == "Operations Management" THEN SubjectID = 554
ELSE IF Topic == "Professional Effectiveness" THEN SubjectID = 555
ELSE IF Topic == "Project Management" THEN SubjectID = 556
ELSE IF Topic == "Strategy and Innovation" THEN SubjectID = 557
ELSE IF Topic == "Business Skills" THEN SubjectID = 558
ELSE IF Topic == "Business Skills" THEN SubjectID = 559
ELSE IF Topic == "Business Skills" THEN SubjectID = 560
ELSE IF Topic == "Business Skills" THEN SubjectID = 561
ELSE IF Topic == "Business Skills" THEN SubjectID = 562
ELSE IF Topic == "Sumtotal344" THEN SubjectID = 563
ELSE IF Topic == "ILT Events" THEN SubjectID = 565
ELSE IF Topic == "SumTotal2" THEN SubjectID = 566
ELSE IF Topic == "SumTotal" THEN SubjectID = 567
ELSE IF Topic == "Materials" THEN SubjectID = 568
ELSE IF Topic == "Videos" THEN SubjectID = 569
ELSE IF Topic == "Curriculum" THEN SubjectID = 570
ELSE IF Topic == "Curriculums" THEN SubjectID = 571
ELSE IF Topic == "ILT Events" THEN SubjectID = 572
ELSE IF Topic == "Scorm" THEN SubjectID = 573
ELSE IF Topic == "Finance" THEN SubjectID = 574
ELSE IF Topic == "SIAM TEAM" THEN SubjectID = 575
ELSE IF Topic == "New Employee Training" THEN SubjectID = 576
ELSE IF Topic == "Exercise" THEN SubjectID = 577
ELSE IF Topic == "Leadership Development" THEN SubjectID = 578
ELSE IF Topic == "Medicine" THEN SubjectID = 579
ELSE IF Topic == "Teaching" THEN SubjectID = 580
ELSE IF Topic == "Course Details" THEN SubjectID = 581
ELSE IF Topic == "Pravir test" THEN SubjectID = 582
ELSE IF Topic == "Tests" THEN SubjectID = 583
ELSE IF Topic == "Online Courses" THEN SubjectID = 584
ELSE IF Topic == "Topics" THEN SubjectID = 585
ELSE IF Topic == "PESV2_topic" THEN SubjectID = 586
ELSE IF Topic == "1234" THEN SubjectID = 587
ELSE IF Topic == "208_Cloud Services" THEN SubjectID = 588
ELSE IF Topic == "210_Customer Service" THEN SubjectID = 589
ELSE IF Topic == "211_Developer" THEN SubjectID = 590
ELSE IF Topic == "212_Digital Transformation" THEN SubjectID = 591
ELSE IF Topic == "213_IT Operations" THEN SubjectID = 592
ELSE IF Topic == "215_Leadership Development Program" THEN SubjectID = 593
ELSE IF Topic == "216_Management" THEN SubjectID = 594
ELSE IF Topic == "58_Certifications" THEN SubjectID = 595
ELSE IF Topic == "Aspire Journeys" THEN SubjectID = 596
ELSE IF Topic == "Business Operations" THEN SubjectID = 597
ELSE IF Topic == "66_Cloud Services" THEN SubjectID = 598
ELSE IF Topic == "68_Customer Service" THEN SubjectID = 599
ELSE IF Topic == "Data" THEN SubjectID = 600
ELSE IF Topic == "70_Developer" THEN SubjectID = 601
ELSE IF Topic == "71_Digital Transformation" THEN SubjectID = 602
ELSE IF Topic == "74_IT Operations" THEN SubjectID = 603
ELSE IF Topic == "82_Management" THEN SubjectID = 604
ELSE IF Topic == "Productivity &amp; Collaboration Tools" THEN SubjectID = 605
ELSE IF Topic == "Professional Improvement" THEN SubjectID = 606
ELSE IF Topic == "89_Project Management" THEN SubjectID = 607
ELSE IF Topic == "Sales &amp; Marketing" THEN SubjectID = 608
ELSE IF Topic == "121_Customer Service: Core Concepts &amp; Methods" THEN SubjectID = 609
ELSE IF Topic == "Data Visualization &amp; Reporting" THEN SubjectID = 610
ELSE IF Topic == "Big Data" THEN SubjectID = 611
ELSE IF Topic == "Data Security" THEN SubjectID = 612
ELSE IF Topic == "Data Analytics" THEN SubjectID = 613
ELSE IF Topic == "Data Core Concepts" THEN SubjectID = 614
ELSE IF Topic == "Database Development" THEN SubjectID = 615
ELSE IF Topic == "Data Platforms" THEN SubjectID = 616
ELSE IF Topic == "Business Intelligence" THEN SubjectID = 617
ELSE IF Topic == "130_Data Science" THEN SubjectID = 618
ELSE IF Topic == "141_Data Science" THEN SubjectID = 619
ELSE IF Topic == "146_Digital Marketing &amp; Communications" THEN SubjectID = 620
ELSE IF Topic == "151_Information Security" THEN SubjectID = 621
ELSE IF Topic == "152_IT Services" THEN SubjectID = 622
ELSE IF Topic == "153_DevOps" THEN SubjectID = 623
ELSE IF Topic == "IT Trends" THEN SubjectID = 624
ELSE IF Topic == "155_Network Operations" THEN SubjectID = 625
ELSE IF Topic == "156_Client &amp; Server Administration" THEN SubjectID = 626
ELSE IF Topic == "Design" THEN SubjectID = 627
ELSE IF Topic == "Productivity Tools" THEN SubjectID = 628
ELSE IF Topic == "Collaboration" THEN SubjectID = 629
ELSE IF Topic == "Browsers &amp; Operating Systems" THEN SubjectID = 630
ELSE IF Topic == "186_Microsoft Office" THEN SubjectID = 631
ELSE IF Topic == "Personal Productivity" THEN SubjectID = 632
ELSE IF Topic == "Well-Being" THEN SubjectID = 633
ELSE IF Topic == "Business Communication" THEN SubjectID = 634
ELSE IF Topic == "Self-Discovery" THEN SubjectID = 635
ELSE IF Topic == "Personal Accountability" THEN SubjectID = 636
ELSE IF Topic == "Individual Professional Performance" THEN SubjectID = 637
ELSE IF Topic == "Project Management Methods" THEN SubjectID = 638
ELSE IF Topic == "Project Management Core Concepts" THEN SubjectID = 639
ELSE IF Topic == "Product Marketing" THEN SubjectID = 640
ELSE IF Topic == "Selling Skills" THEN SubjectID = 641
ELSE IF Topic == "Salesforce &amp; Channel Management" THEN SubjectID = 642
ELSE IF Topic == "Corporate Communications" THEN SubjectID = 643
ELSE IF Topic == "Corporate Marketing" THEN SubjectID = 644
ELSE IF Topic == "205_(ISC)2" THEN SubjectID = 645
ELSE IF Topic == "206_Amazon" THEN SubjectID = 646
ELSE IF Topic == "207_Cisco" THEN SubjectID = 647
ELSE IF Topic == "209_CompTIA" THEN SubjectID = 648
ELSE IF Topic == "214_Information Systems Audit and Control Association" THEN SubjectID = 649
ELSE IF Topic == "217_Microsoft" THEN SubjectID = 650
ELSE IF Topic == "228_Cloud Platforms" THEN SubjectID = 651
ELSE IF Topic == "229_Cloud Development" THEN SubjectID = 652
ELSE IF Topic == "245_Information Security" THEN SubjectID = 653
ELSE IF Topic == "246_IT Services" THEN SubjectID = 654
ELSE IF Topic == "247_Network Operations" THEN SubjectID = 655
ELSE IF Topic == "248_Client &amp; Server Administration" THEN SubjectID = 656
ELSE IF Topic == "250_Leading the Business" THEN SubjectID = 657
ELSE IF Topic == "251_Leading Your Team" THEN SubjectID = 658
ELSE IF Topic == "252_Leading Yourself" THEN SubjectID = 659
ELSE IF Topic == "253_Management Essentials" THEN SubjectID = 660
ELSE IF Topic == "59_(ISC)2" THEN SubjectID = 661
ELSE IF Topic == "60_Amazon" THEN SubjectID = 662
ELSE IF Topic == "American Society for Quality (ASQ)" THEN SubjectID = 663
ELSE IF Topic == "BCS Professional Institute" THEN SubjectID = 664
ELSE IF Topic == "65_Cisco" THEN SubjectID = 665
ELSE IF Topic == "67_CompTIA" THEN SubjectID = 666
ELSE IF Topic == "EC-Council" THEN SubjectID = 667
ELSE IF Topic == "Google" THEN SubjectID = 668
ELSE IF Topic == "ITIL®" THEN SubjectID = 669
ELSE IF Topic == "76_Information Systems Audit and Control Association" THEN SubjectID = 670
ELSE IF Topic == "International Institute of Business Analysis (IIBA)" THEN SubjectID = 671
ELSE IF Topic == "International Software Testing Qualification Board" THEN SubjectID = 672
ELSE IF Topic == "Isograd" THEN SubjectID = 673
ELSE IF Topic == "Juniper" THEN SubjectID = 674
ELSE IF Topic == "Linux Professional Institute" THEN SubjectID = 675
ELSE IF Topic == "83_Microsoft" THEN SubjectID = 676
ELSE IF Topic == "84_Microsoft Office" THEN SubjectID = 677
ELSE IF Topic == "Oracle" THEN SubjectID = 678
ELSE IF Topic == "PRINCE2®" THEN SubjectID = 679
ELSE IF Topic == "Project Management Institute (PMI)®" THEN SubjectID = 680
ELSE IF Topic == "Red Hat" THEN SubjectID = 681
ELSE IF Topic == "SAS" THEN SubjectID = 682
ELSE IF Topic == "TOGAF®" THEN SubjectID = 683
ELSE IF Topic == "10_Developer" THEN SubjectID = 684
ELSE IF Topic == "Data Analyst to Data Scientist" THEN SubjectID = 685
ELSE IF Topic == "Business Planning &amp; Analysis" THEN SubjectID = 686
ELSE IF Topic == "Finance" THEN SubjectID = 687
ELSE IF Topic == "Human Resources" THEN SubjectID = 688
ELSE IF Topic == "Process Improvement" THEN SubjectID = 689
ELSE IF Topic == "11_Digital Transformation" THEN SubjectID = 690
ELSE IF Topic == "112_Cloud Platforms" THEN SubjectID = 691
ELSE IF Topic == "Cloud Basics" THEN SubjectID = 692
ELSE IF Topic == "Internet of Things" THEN SubjectID = 693
ELSE IF Topic == "115_Cloud Development" THEN SubjectID = 694
ELSE IF Topic == "116_Cloud Security" THEN SubjectID = 695
ELSE IF Topic == "12_IT Operations" THEN SubjectID = 696
ELSE IF Topic == "Developer Trends" THEN SubjectID = 697
ELSE IF Topic == "Web Development" THEN SubjectID = 698
ELSE IF Topic == "Mobile Development" THEN SubjectID = 699
ELSE IF Topic == "134_DevOps" THEN SubjectID = 700
ELSE IF Topic == "135_Secure Programming" THEN SubjectID = 701
ELSE IF Topic == "Data Modelling" THEN SubjectID = 702
ELSE IF Topic == "137_Developer Concepts &amp; Methodologies" THEN SubjectID = 703
ELSE IF Topic == "138_Developer Tools" THEN SubjectID = 704
ELSE IF Topic == "139_Programming Languages" THEN SubjectID = 705
ELSE IF Topic == "14_Leadership Development Program" THEN SubjectID = 706
ELSE IF Topic == "Microservices" THEN SubjectID = 707
ELSE IF Topic == "142_Essentials of Digital Transformation" THEN SubjectID = 708
ELSE IF Topic == "143_Virtual Work" THEN SubjectID = 709
ELSE IF Topic == "144_Digital Soft Skills Competencies" THEN SubjectID = 710
ELSE IF Topic == "145_Agility for Digital Transformation" THEN SubjectID = 711
ELSE IF Topic == "147_Digital Experiences" THEN SubjectID = 712
ELSE IF Topic == "15_Management" THEN SubjectID = 713
ELSE IF Topic == "Leadership Essentials" THEN SubjectID = 714
ELSE IF Topic == "166_Management Essentials" THEN SubjectID = 715
ELSE IF Topic == "Team Management" THEN SubjectID = 716
ELSE IF Topic == "Business Execution" THEN SubjectID = 717
ELSE IF Topic == "Business Strategy" THEN SubjectID = 718
ELSE IF Topic == "233_Customer Service: Core Concepts &amp; Methods" THEN SubjectID = 719
ELSE IF Topic == "234_Secure Programming" THEN SubjectID = 720
ELSE IF Topic == "235_Developer Concepts &amp; Methodologies" THEN SubjectID = 721
ELSE IF Topic == "236_Developer Tools" THEN SubjectID = 722
ELSE IF Topic == "237_Programming Languages" THEN SubjectID = 723
ELSE IF Topic == "238_Data Science" THEN SubjectID = 724
ELSE IF Topic == "239_Essentials of Digital Transformation" THEN SubjectID = 725
ELSE IF Topic == "240_Virtual Work" THEN SubjectID = 726
ELSE IF Topic == "241_Digital Soft Skills Competencies" THEN SubjectID = 727
ELSE IF Topic == "242_Agility for Digital Transformation" THEN SubjectID = 728
ELSE IF Topic == "243_Digital Marketing &amp; Communications" THEN SubjectID = 729
ELSE IF Topic == "244_Digital Experiences" THEN SubjectID = 730
ELSE IF Topic == "3_Certifications" THEN SubjectID = 731
ELSE IF Topic == "7_Cloud Services" THEN SubjectID = 732
ELSE IF Topic == "9_Customer Service" THEN SubjectID = 733
ELSE IF Topic == "ASQ (American Society for Quality)" THEN SubjectID = 734
ELSE IF Topic == "104_Foundation" THEN SubjectID = 735
ELSE IF Topic == "109_Professional" THEN SubjectID = 736
ELSE IF Topic == "110_Entry" THEN SubjectID = 737
ELSE IF Topic == "111_Associate" THEN SubjectID = 738
ELSE IF Topic == "13_Information Systems Audit and Control Association" THEN SubjectID = 739
ELSE IF Topic == "148_Core" THEN SubjectID = 740
ELSE IF Topic == "16_Microsoft" THEN SubjectID = 741
ELSE IF Topic == "161_Foundation" THEN SubjectID = 742
ELSE IF Topic == "164_Administrator" THEN SubjectID = 743
ELSE IF Topic == "Microsoft Certified Associate" THEN SubjectID = 744
ELSE IF Topic == "171_Specialist" THEN SubjectID = 745
ELSE IF Topic == "172_Microsoft Certified Solutions Developer (MCSD)" THEN SubjectID = 746
ELSE IF Topic == "173_Microsoft Certified Solutions Associate (MCSA)" THEN SubjectID = 747
ELSE IF Topic == "174_Microsoft Certified Solutions Expert (MCSE)" THEN SubjectID = 748
ELSE IF Topic == "175_Associate (MTA)" THEN SubjectID = 749
ELSE IF Topic == "Microsoft Certified Fundamentals" THEN SubjectID = 750
ELSE IF Topic == "Microsoft Office Specialist (MOS)" THEN SubjectID = 751
ELSE IF Topic == "178_Professional" THEN SubjectID = 752
ELSE IF Topic == "Expert" THEN SubjectID = 753
ELSE IF Topic == "180_Associate" THEN SubjectID = 754
ELSE IF Topic == "181_Foundation" THEN SubjectID = 755
ELSE IF Topic == "196_Administrator" THEN SubjectID = 756
ELSE IF Topic == "Base Programmer" THEN SubjectID = 757
ELSE IF Topic == "218_Cloud Security" THEN SubjectID = 758
ELSE IF Topic == "219_Systems Security" THEN SubjectID = 759
ELSE IF Topic == "220_Software Development" THEN SubjectID = 760
ELSE IF Topic == "221_Information Security" THEN SubjectID = 761
ELSE IF Topic == "249_Auditor" THEN SubjectID = 762
ELSE IF Topic == "27_Cloud Platforms" THEN SubjectID = 763
ELSE IF Topic == "28_Cloud Development" THEN SubjectID = 764
ELSE IF Topic == "4_(ISC)2" THEN SubjectID = 765
ELSE IF Topic == "44_Information Security" THEN SubjectID = 766
ELSE IF Topic == "45_IT Services" THEN SubjectID = 767
ELSE IF Topic == "46_Network Operations" THEN SubjectID = 768
ELSE IF Topic == "47_Client &amp; Server Administration" THEN SubjectID = 769
ELSE IF Topic == "49_Leading the Business" THEN SubjectID = 770
ELSE IF Topic == "5_Amazon" THEN SubjectID = 771
ELSE IF Topic == "50_Leading Your Team" THEN SubjectID = 772
ELSE IF Topic == "51_Leading Yourself" THEN SubjectID = 773
ELSE IF Topic == "52_Management Essentials" THEN SubjectID = 774
ELSE IF Topic == "6_Cisco" THEN SubjectID = 775
ELSE IF Topic == "8_CompTIA" THEN SubjectID = 776
ELSE IF Topic == "100_Architecting" THEN SubjectID = 777
ELSE IF Topic == "101_Operations" THEN SubjectID = 778
ELSE IF Topic == "Additional Professional" THEN SubjectID = 779
ELSE IF Topic == "118_Cybersecurity" THEN SubjectID = 780
ELSE IF Topic == "119_Infrastructure" THEN SubjectID = 781
ELSE IF Topic == "120_Core" THEN SubjectID = 782
ELSE IF Topic == "149_Associate" THEN SubjectID = 783
ELSE IF Topic == "150_Professional" THEN SubjectID = 784
ELSE IF Topic == "157_Foundation" THEN SubjectID = 785
ELSE IF Topic == "158_Auditor" THEN SubjectID = 786
ELSE IF Topic == "Security Manager" THEN SubjectID = 787
ELSE IF Topic == "Level 3 - CBAP" THEN SubjectID = 788
ELSE IF Topic == "TOSA Desktop" THEN SubjectID = 789
ELSE IF Topic == "163_Associate" THEN SubjectID = 790
ELSE IF Topic == "195_Project Management" THEN SubjectID = 791
ELSE IF Topic == "TOGAF® 9" THEN SubjectID = 792
ELSE IF Topic == "222_Developing" THEN SubjectID = 793
ELSE IF Topic == "223_Architecting" THEN SubjectID = 794
ELSE IF Topic == "224_Operations" THEN SubjectID = 795
ELSE IF Topic == "225_Professional" THEN SubjectID = 796
ELSE IF Topic == "226_Entry" THEN SubjectID = 797
ELSE IF Topic == "227_Associate" THEN SubjectID = 798
ELSE IF Topic == "230_Cybersecurity" THEN SubjectID = 799
ELSE IF Topic == "231_Infrastructure" THEN SubjectID = 800
ELSE IF Topic == "232_Core" THEN SubjectID = 801
ELSE IF Topic == "254_Specialist" THEN SubjectID = 802
ELSE IF Topic == "255_Microsoft Certified Solutions Developer (MCSD)" THEN SubjectID = 803
ELSE IF Topic == "256_Microsoft Certified Solutions Associate (MCSA)" THEN SubjectID = 804
ELSE IF Topic == "257_Microsoft Certified Solutions Expert (MCSE)" THEN SubjectID = 805
ELSE IF Topic == "258_Associate (MTA)" THEN SubjectID = 806
ELSE IF Topic == "32_Customer Service: Core Concepts &amp; Methods" THEN SubjectID = 807
ELSE IF Topic == "33_Secure Programming" THEN SubjectID = 808
ELSE IF Topic == "34_Developer Concepts &amp; Methodologies" THEN SubjectID = 809
ELSE IF Topic == "35_Developer Tools" THEN SubjectID = 810
ELSE IF Topic == "36_Programming Languages" THEN SubjectID = 811
ELSE IF Topic == "37_Data Science" THEN SubjectID = 812
ELSE IF Topic == "38_Essentials of Digital Transformation" THEN SubjectID = 813
ELSE IF Topic == "39_Virtual Work" THEN SubjectID = 814
ELSE IF Topic == "40_Digital Soft Skills Competencies" THEN SubjectID = 815
ELSE IF Topic == "41_Agility for Digital Transformation" THEN SubjectID = 816
ELSE IF Topic == "42_Digital Marketing &amp; Communications" THEN SubjectID = 817
ELSE IF Topic == "43_Digital Experiences" THEN SubjectID = 818
ELSE IF Topic == "95_Cloud Security" THEN SubjectID = 819
ELSE IF Topic == "96_Systems Security" THEN SubjectID = 820
ELSE IF Topic == "97_Software Development" THEN SubjectID = 821
ELSE IF Topic == "98_Information Security" THEN SubjectID = 822
ELSE IF Topic == "99_Developing" THEN SubjectID = 823
ELSE IF Topic == "17_Cloud Security" THEN SubjectID = 824
ELSE IF Topic == "18_Systems Security" THEN SubjectID = 825
ELSE IF Topic == "19_Software Development" THEN SubjectID = 826
ELSE IF Topic == "20_Information Security" THEN SubjectID = 827
ELSE IF Topic == "29_Cybersecurity" THEN SubjectID = 828
ELSE IF Topic == "30_Infrastructure" THEN SubjectID = 829
ELSE IF Topic == "31_Core" THEN SubjectID = 830
ELSE IF Topic == "48_Auditor" THEN SubjectID = 831
ELSE IF Topic == "21_Developing" THEN SubjectID = 832
ELSE IF Topic == "22_Architecting" THEN SubjectID = 833
ELSE IF Topic == "23_Operations" THEN SubjectID = 834
ELSE IF Topic == "24_Professional" THEN SubjectID = 835
ELSE IF Topic == "25_Entry" THEN SubjectID = 836
ELSE IF Topic == "26_Associate" THEN SubjectID = 837
ELSE IF Topic == "53_Specialist" THEN SubjectID = 838
ELSE IF Topic == "54_Microsoft Certified Solutions Developer (MCSD)" THEN SubjectID = 839
ELSE IF Topic == "55_Microsoft Certified Solutions Associate (MCSA)" THEN SubjectID = 840
ELSE IF Topic == "56_Microsoft Certified Solutions Expert (MCSE)" THEN SubjectID = 841
ELSE IF Topic == "57_Associate (MTA)" THEN SubjectID = 842
ELSE IF Topic == "Java" THEN SubjectID = 843
ELSE IF Topic == "oops" THEN SubjectID = 844
ELSE IF Topic == "python" THEN SubjectID = 845
ELSE IF Topic == "Auditor" THEN SubjectID = 846
ELSE IF Topic == "Browsers &amp; Operating Systems" THEN SubjectID = 847
ELSE IF Topic == "Business Skills" THEN SubjectID = 848
ELSE IF Topic == "Cloud" THEN SubjectID = 849
ELSE IF Topic == "Cloud Computing" THEN SubjectID = 850
ELSE IF Topic == "Collaboration" THEN SubjectID = 851
ELSE IF Topic == "Data / ML / AI" THEN SubjectID = 852
ELSE IF Topic == "Decision-makers and Leaders" THEN SubjectID = 853
ELSE IF Topic == "Design" THEN SubjectID = 854
ELSE IF Topic == "DevOps" THEN SubjectID = 855
ELSE IF Topic == "Foundation" THEN SubjectID = 856
ELSE IF Topic == "Get Started" THEN SubjectID = 857
ELSE IF Topic == "IT Ops" THEN SubjectID = 858
ELSE IF Topic == "Leading the Business" THEN SubjectID = 859
ELSE IF Topic == "Leading Your Team" THEN SubjectID = 860
ELSE IF Topic == "Leading Yourself" THEN SubjectID = 861
ELSE IF Topic == "Level 3 - CBAP" THEN SubjectID = 862
ELSE IF Topic == "PM" THEN SubjectID = 863
ELSE IF Topic == "Productivity Tools" THEN SubjectID = 864
ELSE IF Topic == "Programming" THEN SubjectID = 865
ELSE IF Topic == "Adapting to Change" THEN SubjectID = 866
ELSE IF Topic == "Business Execution" THEN SubjectID = 867
ELSE IF Topic == "Business Strategy" THEN SubjectID = 868
ELSE IF Topic == "Business Continuity Planning" THEN SubjectID = 869
ELSE IF Topic == "Collaboration Tools" THEN SubjectID = 870
ELSE IF Topic == "Communication Essentials" THEN SubjectID = 871
ELSE IF Topic == "Crisis Management" THEN SubjectID = 872
ELSE IF Topic == "Environmental, Health and Safety (EHS) Compliance" THEN SubjectID = 873
ELSE IF Topic == "Food and Alcohol Safety" THEN SubjectID = 874
ELSE IF Topic == "Leadership Essentials" THEN SubjectID = 875
ELSE IF Topic == "Leading Teams" THEN SubjectID = 876
ELSE IF Topic == "Legal Compliance" THEN SubjectID = 877
ELSE IF Topic == "Professional Essentials" THEN SubjectID = 878
ELSE IF Topic == "Software Tester to DevOps Automated Tester" THEN SubjectID = 879
ELSE IF Topic == "Penetration Tester to SecOps Engineer" THEN SubjectID = 880
ELSE IF Topic == "Web Programmer to Apprentice Programmer" THEN SubjectID = 881
ELSE IF Topic == "Software Project Lead to Advanced Scrum Master" THEN SubjectID = 882
ELSE IF Topic == "Network Security Specialist to CloudOps Security Architect" THEN SubjectID = 883
ELSE IF Topic == "DevOps Engineer to Cloud Architect" THEN SubjectID = 884
ELSE IF Topic == "Apprentice Developer to Journeyman Developer" THEN SubjectID = 885
ELSE IF Topic == "AI Apprentice to AI Architect" THEN SubjectID = 886
ELSE IF Topic == "Programmer to API Developer" THEN SubjectID = 887
ELSE IF Topic == "Developer to Software Architect" THEN SubjectID = 888
ELSE IF Topic == "Network Admin to Site Reliability Engineer" THEN SubjectID = 889
ELSE IF Topic == "Infrastructure Support Engineer to CloudOps Engineer" THEN SubjectID = 890
ELSE IF Topic == "Business Analyst to Data Analyst" THEN SubjectID = 891
ELSE IF Topic == "Data Visualization" THEN SubjectID = 892
ELSE IF Topic == "Pythonista to Python Master" THEN SubjectID = 893
ELSE IF Topic == "Management Essentials" THEN SubjectID = 894
ELSE IF Topic == "Microsoft Office 2016" THEN SubjectID = 895
ELSE IF Topic == "Microsoft Office 365" THEN SubjectID = 896
ELSE IF Topic == "Data Analysis with R" THEN SubjectID = 897
ELSE IF Topic == "Security Essentials for Decision-makers and Leaders" THEN SubjectID = 898
ELSE IF Topic == "Agile for Software Development" THEN SubjectID = 899
ELSE IF Topic == "Serverless Deployments for Developers" THEN SubjectID = 900
ELSE IF Topic == "Java Novice to Javanista" THEN SubjectID = 901
ELSE IF Topic == "Web App Vulnerability Analyst" THEN SubjectID = 902
ELSE IF Topic == "5G Technologies and Practices" THEN SubjectID = 903
ELSE IF Topic == "Go Programming Essentials" THEN SubjectID = 904
ELSE IF Topic == "Enriched Web Development with Angular 11" THEN SubjectID = 905
ELSE IF Topic == "Novice Developer to Pythonista" THEN SubjectID = 906
ELSE IF Topic == "Javanista to Java Master" THEN SubjectID = 907
ELSE IF Topic == "Developer Fundamentals" THEN SubjectID = 908
ELSE IF Topic == "Programming Python in Action" THEN SubjectID = 909
ELSE IF Topic == "Enterprise Development to DevOps Engineer" THEN SubjectID = 910
ELSE IF Topic == "Web App Vulnerability Analyst - 2022 Update" THEN SubjectID = 911
ELSE IF Topic == "Enterprise Development to Full Stack Developer" THEN SubjectID = 912
ELSE IF Topic == "Software Product Management Proficiency" THEN SubjectID = 913
ELSE IF Topic == "Engineering Lead" THEN SubjectID = 914
ELSE IF Topic == "AI and ML for Decision-makers" THEN SubjectID = 915
ELSE IF Topic == "Software Project Analyst to Senior Software Project Manager" THEN SubjectID = 916
ELSE IF Topic == "Security Analyst to Security Architect" THEN SubjectID = 917
ELSE IF Topic == "Programmer to Secure Agile Programmer" THEN SubjectID = 918
ELSE IF Topic == "Virtual Work in the New Normal" THEN SubjectID = 919
ELSE IF Topic == "Manage Myself" THEN SubjectID = 920
ELSE IF Topic == "Manage Others" THEN SubjectID = 921
ELSE IF Topic == "Security" THEN SubjectID = 922
ELSE IF Topic == "Security Manager" THEN SubjectID = 923
ELSE IF Topic == "Server Technology" THEN SubjectID = 924
ELSE IF Topic == "Six Sigma Certification" THEN SubjectID = 925
ELSE IF Topic == "Software Craftsmanship" THEN SubjectID = 926
ELSE IF Topic == "Topics" THEN SubjectID = 927
ELSE IF Topic == "Strategic Thinking" THEN SubjectID = 928
ELSE IF Topic == "Team Management" THEN SubjectID = 929
ELSE IF Topic == "Time Management and Productivity" THEN SubjectID = 930
ELSE IF Topic == "Working on a Team" THEN SubjectID = 931
ELSE IF Topic == "Working Remotely" THEN SubjectID = 932
ELSE IF Topic == "Work-Life Balance" THEN SubjectID = 933
ELSE IF Topic == "Accounting" THEN SubjectID = 934
ELSE IF Topic == "AGG Leadership" THEN SubjectID = 935
ELSE IF Topic == "Diversity on the Job" THEN SubjectID = 936
ELSE IF Topic == "Time Management" THEN SubjectID = 937
ELSE IF Topic == "Unconscious Bias" THEN SubjectID = 938
ELSE IF Topic == "Diversity, Equity, and Inclusion" THEN SubjectID = 939
ELSE IF Topic == "Building DEI Leadership Skills" THEN SubjectID = 940
ELSE IF Topic == "Psychological Safety" THEN SubjectID = 941
ELSE IF Topic == "Skills for Effective Collaboration" THEN SubjectID = 942
ELSE IF Topic == "Managing a Crisis" THEN SubjectID = 943
ELSE IF Topic == "Business" THEN SubjectID = 944
ELSE IF Topic == "C#" THEN SubjectID = 945
ELSE IF Topic == "Cisco Teams" THEN SubjectID = 946
ELSE IF Topic == "Cisco WebEx" THEN SubjectID = 947
ELSE IF Topic == "Computer Skills" THEN SubjectID = 948
ELSE IF Topic == "Core Knowledge" THEN SubjectID = 949
ELSE IF Topic == "Developer Tools" THEN SubjectID = 950
ELSE IF Topic == "dot NET" THEN SubjectID = 951
ELSE IF Topic == "Food and Alcohol Safety (Latin American Spanish Edition)" THEN SubjectID = 952
ELSE IF Topic == "Food and Alcohol Safety (UK Edition)" THEN SubjectID = 953
ELSE IF Topic == "Food and Alcohol Safety (US Edition)" THEN SubjectID = 954
ELSE IF Topic == "Forms &amp; Lists" THEN SubjectID = 955
ELSE IF Topic == "Gemba" THEN SubjectID = 956
ELSE IF Topic == "Hansei" THEN SubjectID = 957
ELSE IF Topic == "Harassment (Canadian French Edition)" THEN SubjectID = 958
ELSE IF Topic == "Harassment (Chinese Edition)" THEN SubjectID = 959
ELSE IF Topic == "Harassment (Danish Edition)" THEN SubjectID = 960
ELSE IF Topic == "Harassment (Dutch Edition)" THEN SubjectID = 961
ELSE IF Topic == "Harassment (Finnish Edition)" THEN SubjectID = 962
ELSE IF Topic == "Harassment (Hungarian Edition)" THEN SubjectID = 963
ELSE IF Topic == "Harassment (Norwegian Edition)" THEN SubjectID = 964
ELSE IF Topic == "Harassment (Romanian Edition)" THEN SubjectID = 965
ELSE IF Topic == "Harassment (Russian Edition)" THEN SubjectID = 966
ELSE IF Topic == "Harassment (Castilian Spanish Edition)" THEN SubjectID = 967
ELSE IF Topic == "Harassment (Swedish Edition)" THEN SubjectID = 968
ELSE IF Topic == "Harassment (Turkish Edition)" THEN SubjectID = 969
ELSE IF Topic == "Harassment (UK English Edition)" THEN SubjectID = 970
ELSE IF Topic == "Harassment (US Edition)" THEN SubjectID = 971
ELSE IF Topic == "Health Insurance Portability and Accountability Act (HIPAA) (Latin American Spanish Edition)" THEN SubjectID = 972
ELSE IF Topic == "Health Insurance Portability and Accountability Act (HIPAA) (US Edition)" THEN SubjectID = 973
ELSE IF Topic == "Health and Wellness" THEN SubjectID = 974
ELSE IF Topic == "Hoshin" THEN SubjectID = 975
ELSE IF Topic == "Introductory Topics" THEN SubjectID = 976
ELSE IF Topic == "JDE" THEN SubjectID = 977
ELSE IF Topic == "Joinme" THEN SubjectID = 978
ELSE IF Topic == "Just In Time" THEN SubjectID = 979
ELSE IF Topic == "Kaizen Leadership" THEN SubjectID = 980
ELSE IF Topic == "Kanban" THEN SubjectID = 981
ELSE IF Topic == "Leadership &amp; Teamwork" THEN SubjectID = 982
ELSE IF Topic == "Additional Content" THEN SubjectID = 983
ELSE IF Topic == "Legal Impacts (US Edition)" THEN SubjectID = 984
ELSE IF Topic == "Legal Impacts (Brazilian Portuguese Edition)" THEN SubjectID = 985
ELSE IF Topic == "Legal Impacts (Chinese Edition)" THEN SubjectID = 986
ELSE IF Topic == "Legal Impacts (German Edition)" THEN SubjectID = 987
ELSE IF Topic == "LMS Instructions" THEN SubjectID = 988
ELSE IF Topic == "LogMeIn" THEN SubjectID = 989
ELSE IF Topic == "Microservices" THEN SubjectID = 990
ELSE IF Topic == "Mobile Development" THEN SubjectID = 991
ELSE IF Topic == "Muda" THEN SubjectID = 992
ELSE IF Topic == "Open Sesame" THEN SubjectID = 993
ELSE IF Topic == "Improving Your Work/Life Balance" THEN SubjectID = 994
ELSE IF Topic == "Improving Your Personal Productivity" THEN SubjectID = 995
ELSE IF Topic == "Perseverance at Work" THEN SubjectID = 996
ELSE IF Topic == "Percipio" THEN SubjectID = 997
ELSE IF Topic == "Policies &amp; Procedures" THEN SubjectID = 998
ELSE IF Topic == "Problem Solving" THEN SubjectID = 999
ELSE IF Topic == "Production Preparation Process" THEN SubjectID = 1000
ELSE IF Topic == "Programming Languages" THEN SubjectID = 1001
ELSE IF Topic == "QC Circle" THEN SubjectID = 1002
ELSE IF Topic == "Quality" THEN SubjectID = 1003
ELSE IF Topic == "Quick Changeover" THEN SubjectID = 1004
ELSE IF Topic == "Reference" THEN SubjectID = 1005
ELSE IF Topic == "Safety" THEN SubjectID = 1006
ELSE IF Topic == "SCP Resources" THEN SubjectID = 1007
ELSE IF Topic == "Secure Programming" THEN SubjectID = 1008
ELSE IF Topic == "Six Sigma" THEN SubjectID = 1009
ELSE IF Topic == "Skillsoft" THEN SubjectID = 1010
ELSE IF Topic == "Productivity Tools forDevOps Automated Testers" THEN SubjectID = 1011
ELSE IF Topic == "Productivity Tools for SecOps Engineers" THEN SubjectID = 1012
ELSE IF Topic == "Business &amp; Leadership for Apprentice Programmers" THEN SubjectID = 1013
ELSE IF Topic == "Productivity Tools for Apprentice Programmers" THEN SubjectID = 1014
ELSE IF Topic == "Productivity Tools for Cloud Architects" THEN SubjectID = 1015
ELSE IF Topic == "Productivity Tools for CloudOps Engineers" THEN SubjectID = 1016
ELSE IF Topic == "Productivity Tools for Business Analyst to Data Analysts" THEN SubjectID = 1017
ELSE IF Topic == "Efficiency &amp; Productivity in the New Normal" THEN SubjectID = 1018
ELSE IF Topic == "Managing &amp; Leading through Unexpected Disruption" THEN SubjectID = 1019
ELSE IF Topic == "Productivity Tools for Data Visualization" THEN SubjectID = 1020
ELSE IF Topic == "Business &amp; Leadership for Data Analysis with R" THEN SubjectID = 1021
ELSE IF Topic == "Productivity Tools for Data Analysis with R" THEN SubjectID = 1022
ELSE IF Topic == "Productivity Tools with Agile for Software Development" THEN SubjectID = 1023
ELSE IF Topic == "Productivity Tools for Web App Vulnerability Analyst" THEN SubjectID = 1024
ELSE IF Topic == "Productivity Tools for 5G Technologies and Practices" THEN SubjectID = 1025
ELSE IF Topic == "Business &amp; Leadership for Enriched Web Development with Angular 11" THEN SubjectID = 1026
ELSE IF Topic == "Business &amp; Leadership for Pythonista" THEN SubjectID = 1027
ELSE IF Topic == "Business &amp; Leadership for Javanista to Java Master" THEN SubjectID = 1028
ELSE IF Topic == "Business &amp; Leadership for Developer Fundamentals" THEN SubjectID = 1029
ELSE IF Topic == "Business &amp; Leadership for Programming Python in Action" THEN SubjectID = 1030
ELSE IF Topic == "Business &amp; Leadership for Software Product Management" THEN SubjectID = 1031
ELSE IF Topic == "Productivity Tools for senior Software Project Managers" THEN SubjectID = 1032
ELSE IF Topic == "Productivity Tools for Security Architects" THEN SubjectID = 1033
ELSE IF Topic == "Business &amp; Leadership for Enterprise Development to Full Stack Developers" THEN SubjectID = 1034
ELSE IF Topic == "Productivity Tools for Full Stack Developer" THEN SubjectID = 1035
ELSE IF Topic == "Productivity Tools for DevOps Engineer" THEN SubjectID = 1036
ELSE IF Topic == "Skype 2016" THEN SubjectID = 1037
ELSE IF Topic == "Standard Work" THEN SubjectID = 1038
ELSE IF Topic == "Standard Work - Leader" THEN SubjectID = 1039
ELSE IF Topic == "T1" THEN SubjectID = 1040
ELSE IF Topic == "TACTIS" THEN SubjectID = 1041
ELSE IF Topic == "Total Productive Maintenance" THEN SubjectID = 1042
ELSE IF Topic == "TQM (Total Quality Management)" THEN SubjectID = 1043
ELSE IF Topic == "TWI for Facilitators" THEN SubjectID = 1044
ELSE IF Topic == "TWI for Learners" THEN SubjectID = 1045
ELSE IF Topic == "US Federal Government Compliance (US Edition)" THEN SubjectID = 1046
ELSE IF Topic == "Value Stream" THEN SubjectID = 1047
ELSE IF Topic == "Visual Management" THEN SubjectID = 1048
ELSE IF Topic == "Web Development" THEN SubjectID = 1049
ELSE IF Topic == "Workplace Compliance Essentials (Brazilian Portuguese Edition)" THEN SubjectID = 1050
ELSE IF Topic == "Workplace Compliance Essentials (UK English Edition)" THEN SubjectID = 1051
ELSE </v>
      </c>
      <c r="P235" t="e">
        <f>VLOOKUP(N235,'[1]Sheet1 (2)'!$L:$M,2,0)</f>
        <v>#N/A</v>
      </c>
    </row>
    <row r="236" spans="1:16" ht="48" hidden="1" x14ac:dyDescent="0.2">
      <c r="A236" s="13" t="s">
        <v>46</v>
      </c>
      <c r="B236" s="13" t="s">
        <v>290</v>
      </c>
      <c r="C236" s="13" t="s">
        <v>261</v>
      </c>
      <c r="D236" s="15" t="s">
        <v>72</v>
      </c>
      <c r="E236" s="15" t="s">
        <v>17</v>
      </c>
      <c r="F236" s="15" t="s">
        <v>18</v>
      </c>
      <c r="G236" s="15"/>
      <c r="H236" s="15" t="b">
        <v>0</v>
      </c>
      <c r="I236" s="17" t="s">
        <v>19</v>
      </c>
      <c r="J236" s="15"/>
      <c r="K236" s="15"/>
      <c r="L236" s="15"/>
      <c r="M236" s="15"/>
      <c r="N236" t="str">
        <f t="shared" si="8"/>
        <v>ActivityQuickAssessment(ST)-Test(CSOD)Availability to All Users</v>
      </c>
      <c r="O236" t="b">
        <f t="shared" si="7"/>
        <v>0</v>
      </c>
      <c r="P236" t="e">
        <f>VLOOKUP(N236,'[1]Sheet1 (2)'!$L:$M,2,0)</f>
        <v>#N/A</v>
      </c>
    </row>
    <row r="237" spans="1:16" hidden="1" x14ac:dyDescent="0.2">
      <c r="A237" s="13" t="s">
        <v>46</v>
      </c>
      <c r="B237" s="13" t="s">
        <v>290</v>
      </c>
      <c r="C237" s="13" t="s">
        <v>261</v>
      </c>
      <c r="D237" s="15" t="s">
        <v>73</v>
      </c>
      <c r="E237" s="15" t="s">
        <v>17</v>
      </c>
      <c r="F237" s="15" t="s">
        <v>11</v>
      </c>
      <c r="G237" s="15">
        <v>2000</v>
      </c>
      <c r="H237" s="15"/>
      <c r="I237" s="15"/>
      <c r="J237" s="15"/>
      <c r="K237" s="15"/>
      <c r="L237" s="15"/>
      <c r="M237" s="15"/>
      <c r="N237" t="str">
        <f t="shared" si="8"/>
        <v>ActivityQuickAssessment(ST)-Test(CSOD)Availability to Specific Users</v>
      </c>
      <c r="O237" t="str">
        <f t="shared" si="7"/>
        <v/>
      </c>
      <c r="P237" t="e">
        <f>VLOOKUP(N237,'[1]Sheet1 (2)'!$L:$M,2,0)</f>
        <v>#N/A</v>
      </c>
    </row>
    <row r="238" spans="1:16" hidden="1" x14ac:dyDescent="0.2">
      <c r="A238" s="13" t="s">
        <v>46</v>
      </c>
      <c r="B238" s="13" t="s">
        <v>290</v>
      </c>
      <c r="C238" s="13" t="s">
        <v>261</v>
      </c>
      <c r="D238" s="15" t="s">
        <v>74</v>
      </c>
      <c r="E238" s="15" t="s">
        <v>17</v>
      </c>
      <c r="F238" s="15" t="s">
        <v>11</v>
      </c>
      <c r="G238" s="15">
        <v>2000</v>
      </c>
      <c r="H238" s="15"/>
      <c r="I238" s="15"/>
      <c r="J238" s="15"/>
      <c r="K238" s="15"/>
      <c r="L238" s="15"/>
      <c r="M238" s="15"/>
      <c r="N238" t="str">
        <f t="shared" si="8"/>
        <v>ActivityQuickAssessment(ST)-Test(CSOD)Availability to OU‡</v>
      </c>
      <c r="O238" t="str">
        <f t="shared" si="7"/>
        <v/>
      </c>
      <c r="P238" t="e">
        <f>VLOOKUP(N238,'[1]Sheet1 (2)'!$L:$M,2,0)</f>
        <v>#N/A</v>
      </c>
    </row>
    <row r="239" spans="1:16" hidden="1" x14ac:dyDescent="0.2">
      <c r="A239" s="13" t="s">
        <v>46</v>
      </c>
      <c r="B239" s="13" t="s">
        <v>290</v>
      </c>
      <c r="C239" s="13" t="s">
        <v>261</v>
      </c>
      <c r="D239" s="15" t="s">
        <v>75</v>
      </c>
      <c r="E239" s="15" t="s">
        <v>17</v>
      </c>
      <c r="F239" s="15" t="s">
        <v>11</v>
      </c>
      <c r="G239" s="15">
        <v>200</v>
      </c>
      <c r="H239" s="15"/>
      <c r="I239" s="15"/>
      <c r="J239" s="15"/>
      <c r="K239" s="15"/>
      <c r="L239" s="15"/>
      <c r="M239" s="15"/>
      <c r="N239" t="str">
        <f t="shared" si="8"/>
        <v>ActivityQuickAssessment(ST)-Test(CSOD)Availability OU Type</v>
      </c>
      <c r="O239" t="str">
        <f t="shared" si="7"/>
        <v/>
      </c>
      <c r="P239" t="e">
        <f>VLOOKUP(N239,'[1]Sheet1 (2)'!$L:$M,2,0)</f>
        <v>#N/A</v>
      </c>
    </row>
    <row r="240" spans="1:16" ht="48" hidden="1" x14ac:dyDescent="0.2">
      <c r="A240" s="13" t="s">
        <v>46</v>
      </c>
      <c r="B240" s="13" t="s">
        <v>290</v>
      </c>
      <c r="C240" s="13" t="s">
        <v>261</v>
      </c>
      <c r="D240" s="15" t="s">
        <v>76</v>
      </c>
      <c r="E240" s="15" t="s">
        <v>17</v>
      </c>
      <c r="F240" s="15" t="s">
        <v>18</v>
      </c>
      <c r="G240" s="15"/>
      <c r="H240" s="15" t="b">
        <v>0</v>
      </c>
      <c r="I240" s="17" t="s">
        <v>19</v>
      </c>
      <c r="J240" s="15"/>
      <c r="K240" s="15"/>
      <c r="L240" s="15"/>
      <c r="M240" s="15"/>
      <c r="N240" t="str">
        <f t="shared" si="8"/>
        <v>ActivityQuickAssessment(ST)-Test(CSOD)Register Upon Approval</v>
      </c>
      <c r="O240" t="b">
        <f t="shared" si="7"/>
        <v>0</v>
      </c>
      <c r="P240" t="e">
        <f>VLOOKUP(N240,'[1]Sheet1 (2)'!$L:$M,2,0)</f>
        <v>#N/A</v>
      </c>
    </row>
    <row r="241" spans="1:16" ht="48" hidden="1" x14ac:dyDescent="0.2">
      <c r="A241" s="13" t="s">
        <v>46</v>
      </c>
      <c r="B241" s="13" t="s">
        <v>290</v>
      </c>
      <c r="C241" s="13" t="s">
        <v>261</v>
      </c>
      <c r="D241" s="15" t="s">
        <v>77</v>
      </c>
      <c r="E241" s="15" t="s">
        <v>17</v>
      </c>
      <c r="F241" s="15" t="s">
        <v>18</v>
      </c>
      <c r="G241" s="15"/>
      <c r="H241" s="15" t="b">
        <v>0</v>
      </c>
      <c r="I241" s="17" t="s">
        <v>19</v>
      </c>
      <c r="J241" s="15"/>
      <c r="K241" s="15"/>
      <c r="L241" s="15"/>
      <c r="M241" s="15"/>
      <c r="N241" t="str">
        <f t="shared" si="8"/>
        <v>ActivityQuickAssessment(ST)-Test(CSOD)Pre-Approved</v>
      </c>
      <c r="O241" t="b">
        <f t="shared" si="7"/>
        <v>0</v>
      </c>
      <c r="P241" t="e">
        <f>VLOOKUP(N241,'[1]Sheet1 (2)'!$L:$M,2,0)</f>
        <v>#N/A</v>
      </c>
    </row>
    <row r="242" spans="1:16" ht="48" hidden="1" x14ac:dyDescent="0.2">
      <c r="A242" s="13" t="s">
        <v>46</v>
      </c>
      <c r="B242" s="13" t="s">
        <v>290</v>
      </c>
      <c r="C242" s="13" t="s">
        <v>261</v>
      </c>
      <c r="D242" s="15" t="s">
        <v>125</v>
      </c>
      <c r="E242" s="15" t="s">
        <v>17</v>
      </c>
      <c r="F242" s="15" t="s">
        <v>18</v>
      </c>
      <c r="G242" s="15"/>
      <c r="H242" s="15" t="b">
        <v>0</v>
      </c>
      <c r="I242" s="17" t="s">
        <v>19</v>
      </c>
      <c r="J242" s="15"/>
      <c r="K242" s="15"/>
      <c r="L242" s="15"/>
      <c r="M242" s="15"/>
      <c r="N242" t="str">
        <f t="shared" si="8"/>
        <v>ActivityQuickAssessment(ST)-Test(CSOD)Include Subordinates</v>
      </c>
      <c r="O242" t="b">
        <f t="shared" si="7"/>
        <v>0</v>
      </c>
      <c r="P242" t="e">
        <f>VLOOKUP(N242,'[1]Sheet1 (2)'!$L:$M,2,0)</f>
        <v>#N/A</v>
      </c>
    </row>
    <row r="243" spans="1:16" hidden="1" x14ac:dyDescent="0.2">
      <c r="A243" s="13" t="s">
        <v>46</v>
      </c>
      <c r="B243" s="13" t="s">
        <v>290</v>
      </c>
      <c r="C243" s="13" t="s">
        <v>261</v>
      </c>
      <c r="D243" s="15" t="s">
        <v>267</v>
      </c>
      <c r="E243" s="15" t="s">
        <v>17</v>
      </c>
      <c r="F243" s="15" t="s">
        <v>96</v>
      </c>
      <c r="G243" s="15">
        <v>9999</v>
      </c>
      <c r="H243" s="15">
        <v>0</v>
      </c>
      <c r="I243" s="15"/>
      <c r="J243" s="15"/>
      <c r="K243" s="15"/>
      <c r="L243" s="15"/>
      <c r="M243" s="15"/>
      <c r="N243" t="str">
        <f t="shared" si="8"/>
        <v>ActivityQuickAssessment(ST)-Test(CSOD)Attempts Allowed</v>
      </c>
      <c r="O243">
        <f t="shared" si="7"/>
        <v>0</v>
      </c>
      <c r="P243" t="str">
        <f>VLOOKUP(N243,'[1]Sheet1 (2)'!$L:$M,2,0)</f>
        <v/>
      </c>
    </row>
    <row r="244" spans="1:16" ht="48" hidden="1" x14ac:dyDescent="0.2">
      <c r="A244" s="13" t="s">
        <v>46</v>
      </c>
      <c r="B244" s="13" t="s">
        <v>290</v>
      </c>
      <c r="C244" s="13" t="s">
        <v>261</v>
      </c>
      <c r="D244" s="15" t="s">
        <v>268</v>
      </c>
      <c r="E244" s="15" t="s">
        <v>17</v>
      </c>
      <c r="F244" s="15" t="s">
        <v>18</v>
      </c>
      <c r="G244" s="15"/>
      <c r="H244" s="15" t="b">
        <v>0</v>
      </c>
      <c r="I244" s="17" t="s">
        <v>19</v>
      </c>
      <c r="J244" s="15"/>
      <c r="K244" s="15"/>
      <c r="L244" s="15"/>
      <c r="M244" s="15"/>
      <c r="N244" t="str">
        <f t="shared" si="8"/>
        <v>ActivityQuickAssessment(ST)-Test(CSOD)View Test Score - Manager</v>
      </c>
      <c r="O244" t="b">
        <f t="shared" si="7"/>
        <v>0</v>
      </c>
      <c r="P244" t="b">
        <f>VLOOKUP(N244,'[1]Sheet1 (2)'!$L:$M,2,0)</f>
        <v>0</v>
      </c>
    </row>
    <row r="245" spans="1:16" ht="48" hidden="1" x14ac:dyDescent="0.2">
      <c r="A245" s="13" t="s">
        <v>46</v>
      </c>
      <c r="B245" s="13" t="s">
        <v>290</v>
      </c>
      <c r="C245" s="13" t="s">
        <v>261</v>
      </c>
      <c r="D245" s="15" t="s">
        <v>269</v>
      </c>
      <c r="E245" s="15" t="s">
        <v>17</v>
      </c>
      <c r="F245" s="15" t="s">
        <v>18</v>
      </c>
      <c r="G245" s="15"/>
      <c r="H245" s="15" t="b">
        <v>0</v>
      </c>
      <c r="I245" s="17" t="s">
        <v>19</v>
      </c>
      <c r="J245" s="15"/>
      <c r="K245" s="15"/>
      <c r="L245" s="15"/>
      <c r="M245" s="15"/>
      <c r="N245" t="str">
        <f t="shared" si="8"/>
        <v>ActivityQuickAssessment(ST)-Test(CSOD)View Test Score - User</v>
      </c>
      <c r="O245" t="b">
        <f t="shared" si="7"/>
        <v>0</v>
      </c>
      <c r="P245" t="b">
        <f>VLOOKUP(N245,'[1]Sheet1 (2)'!$L:$M,2,0)</f>
        <v>0</v>
      </c>
    </row>
    <row r="246" spans="1:16" ht="48" hidden="1" x14ac:dyDescent="0.2">
      <c r="A246" s="13" t="s">
        <v>46</v>
      </c>
      <c r="B246" s="13" t="s">
        <v>290</v>
      </c>
      <c r="C246" s="13" t="s">
        <v>261</v>
      </c>
      <c r="D246" s="15" t="s">
        <v>270</v>
      </c>
      <c r="E246" s="15" t="s">
        <v>17</v>
      </c>
      <c r="F246" s="15" t="s">
        <v>18</v>
      </c>
      <c r="G246" s="15"/>
      <c r="H246" s="15" t="b">
        <v>0</v>
      </c>
      <c r="I246" s="17" t="s">
        <v>19</v>
      </c>
      <c r="J246" s="15"/>
      <c r="K246" s="15"/>
      <c r="L246" s="15"/>
      <c r="M246" s="15"/>
      <c r="N246" t="str">
        <f t="shared" si="8"/>
        <v>ActivityQuickAssessment(ST)-Test(CSOD)Allow Test Review - Manager</v>
      </c>
      <c r="O246" t="b">
        <f t="shared" si="7"/>
        <v>0</v>
      </c>
      <c r="P246" t="b">
        <f>VLOOKUP(N246,'[1]Sheet1 (2)'!$L:$M,2,0)</f>
        <v>0</v>
      </c>
    </row>
    <row r="247" spans="1:16" ht="48" hidden="1" x14ac:dyDescent="0.2">
      <c r="A247" s="13" t="s">
        <v>46</v>
      </c>
      <c r="B247" s="13" t="s">
        <v>290</v>
      </c>
      <c r="C247" s="13" t="s">
        <v>261</v>
      </c>
      <c r="D247" s="15" t="s">
        <v>271</v>
      </c>
      <c r="E247" s="15" t="s">
        <v>17</v>
      </c>
      <c r="F247" s="15" t="s">
        <v>18</v>
      </c>
      <c r="G247" s="15"/>
      <c r="H247" s="15" t="b">
        <v>0</v>
      </c>
      <c r="I247" s="17" t="s">
        <v>19</v>
      </c>
      <c r="J247" s="15" t="s">
        <v>272</v>
      </c>
      <c r="K247" s="15" t="s">
        <v>25</v>
      </c>
      <c r="L247" s="15"/>
      <c r="M247" s="15" t="s">
        <v>26</v>
      </c>
      <c r="N247" t="str">
        <f t="shared" si="8"/>
        <v>ActivityQuickAssessment(ST)-Test(CSOD)Allow Test Review - User</v>
      </c>
      <c r="O247" t="b">
        <f t="shared" si="7"/>
        <v>0</v>
      </c>
      <c r="P247" t="b">
        <f>VLOOKUP(N247,'[1]Sheet1 (2)'!$L:$M,2,0)</f>
        <v>0</v>
      </c>
    </row>
    <row r="248" spans="1:16" ht="48" hidden="1" x14ac:dyDescent="0.2">
      <c r="A248" s="13" t="s">
        <v>46</v>
      </c>
      <c r="B248" s="13" t="s">
        <v>290</v>
      </c>
      <c r="C248" s="13" t="s">
        <v>261</v>
      </c>
      <c r="D248" s="15" t="s">
        <v>273</v>
      </c>
      <c r="E248" s="15" t="s">
        <v>17</v>
      </c>
      <c r="F248" s="15" t="s">
        <v>18</v>
      </c>
      <c r="G248" s="15"/>
      <c r="H248" s="15" t="b">
        <v>0</v>
      </c>
      <c r="I248" s="17" t="s">
        <v>19</v>
      </c>
      <c r="J248" s="15" t="s">
        <v>272</v>
      </c>
      <c r="K248" s="15" t="s">
        <v>25</v>
      </c>
      <c r="L248" s="15"/>
      <c r="M248" s="15" t="s">
        <v>26</v>
      </c>
      <c r="N248" t="str">
        <f t="shared" si="8"/>
        <v>ActivityQuickAssessment(ST)-Test(CSOD)Allow Review After Every Attempt</v>
      </c>
      <c r="O248" t="b">
        <f t="shared" si="7"/>
        <v>0</v>
      </c>
      <c r="P248" t="b">
        <f>VLOOKUP(N248,'[1]Sheet1 (2)'!$L:$M,2,0)</f>
        <v>0</v>
      </c>
    </row>
    <row r="249" spans="1:16" hidden="1" x14ac:dyDescent="0.2">
      <c r="A249" s="13" t="s">
        <v>46</v>
      </c>
      <c r="B249" s="13" t="s">
        <v>290</v>
      </c>
      <c r="C249" s="13" t="s">
        <v>261</v>
      </c>
      <c r="D249" s="15" t="s">
        <v>274</v>
      </c>
      <c r="E249" s="15" t="s">
        <v>17</v>
      </c>
      <c r="F249" s="15" t="s">
        <v>11</v>
      </c>
      <c r="G249" s="15"/>
      <c r="H249" s="15" t="s">
        <v>275</v>
      </c>
      <c r="I249" s="15"/>
      <c r="J249" s="15"/>
      <c r="K249" s="15"/>
      <c r="L249" s="15"/>
      <c r="M249" s="15"/>
      <c r="N249" t="str">
        <f t="shared" si="8"/>
        <v>ActivityQuickAssessment(ST)-Test(CSOD)Review Level</v>
      </c>
      <c r="O249" t="str">
        <f t="shared" si="7"/>
        <v>Questions Only</v>
      </c>
      <c r="P249" t="str">
        <f>VLOOKUP(N249,'[1]Sheet1 (2)'!$L:$M,2,0)</f>
        <v/>
      </c>
    </row>
    <row r="250" spans="1:16" ht="48" hidden="1" x14ac:dyDescent="0.2">
      <c r="A250" s="13" t="s">
        <v>46</v>
      </c>
      <c r="B250" s="13" t="s">
        <v>290</v>
      </c>
      <c r="C250" s="13" t="s">
        <v>261</v>
      </c>
      <c r="D250" s="15" t="s">
        <v>276</v>
      </c>
      <c r="E250" s="15" t="s">
        <v>17</v>
      </c>
      <c r="F250" s="15" t="s">
        <v>18</v>
      </c>
      <c r="G250" s="15"/>
      <c r="H250" s="15"/>
      <c r="I250" s="17" t="s">
        <v>19</v>
      </c>
      <c r="J250" s="15"/>
      <c r="K250" s="15"/>
      <c r="L250" s="15"/>
      <c r="M250" s="15"/>
      <c r="N250" t="str">
        <f t="shared" si="8"/>
        <v>ActivityQuickAssessment(ST)-Test(CSOD)Lockout</v>
      </c>
      <c r="O250" t="str">
        <f t="shared" si="7"/>
        <v/>
      </c>
      <c r="P250" t="b">
        <f>VLOOKUP(N250,'[1]Sheet1 (2)'!$L:$M,2,0)</f>
        <v>0</v>
      </c>
    </row>
    <row r="251" spans="1:16" hidden="1" x14ac:dyDescent="0.2">
      <c r="A251" s="13" t="s">
        <v>46</v>
      </c>
      <c r="B251" s="13" t="s">
        <v>290</v>
      </c>
      <c r="C251" s="13" t="s">
        <v>261</v>
      </c>
      <c r="D251" s="15" t="s">
        <v>277</v>
      </c>
      <c r="E251" s="15" t="s">
        <v>17</v>
      </c>
      <c r="F251" s="15" t="s">
        <v>11</v>
      </c>
      <c r="G251" s="15"/>
      <c r="H251" s="15"/>
      <c r="I251" s="15"/>
      <c r="J251" s="15"/>
      <c r="K251" s="15"/>
      <c r="L251" s="15"/>
      <c r="M251" s="15"/>
      <c r="N251" t="str">
        <f t="shared" si="8"/>
        <v>ActivityQuickAssessment(ST)-Test(CSOD)Lockout Type</v>
      </c>
      <c r="O251" t="str">
        <f t="shared" si="7"/>
        <v/>
      </c>
      <c r="P251" t="str">
        <f>VLOOKUP(N251,'[1]Sheet1 (2)'!$L:$M,2,0)</f>
        <v/>
      </c>
    </row>
    <row r="252" spans="1:16" hidden="1" x14ac:dyDescent="0.2">
      <c r="A252" s="13" t="s">
        <v>46</v>
      </c>
      <c r="B252" s="13" t="s">
        <v>290</v>
      </c>
      <c r="C252" s="13" t="s">
        <v>261</v>
      </c>
      <c r="D252" s="15" t="s">
        <v>278</v>
      </c>
      <c r="E252" s="15" t="s">
        <v>17</v>
      </c>
      <c r="F252" s="15" t="s">
        <v>96</v>
      </c>
      <c r="G252" s="15">
        <v>30</v>
      </c>
      <c r="H252" s="15"/>
      <c r="I252" s="15"/>
      <c r="J252" s="15"/>
      <c r="K252" s="15"/>
      <c r="L252" s="15"/>
      <c r="M252" s="15"/>
      <c r="N252" t="str">
        <f t="shared" si="8"/>
        <v>ActivityQuickAssessment(ST)-Test(CSOD)Lockout Duration</v>
      </c>
      <c r="O252" t="str">
        <f t="shared" si="7"/>
        <v/>
      </c>
      <c r="P252" t="str">
        <f>VLOOKUP(N252,'[1]Sheet1 (2)'!$L:$M,2,0)</f>
        <v/>
      </c>
    </row>
    <row r="253" spans="1:16" hidden="1" x14ac:dyDescent="0.2">
      <c r="A253" s="13" t="s">
        <v>46</v>
      </c>
      <c r="B253" s="13" t="s">
        <v>290</v>
      </c>
      <c r="C253" s="13" t="s">
        <v>261</v>
      </c>
      <c r="D253" s="15" t="s">
        <v>279</v>
      </c>
      <c r="E253" s="15" t="s">
        <v>17</v>
      </c>
      <c r="F253" s="15" t="s">
        <v>11</v>
      </c>
      <c r="G253" s="15">
        <v>2000</v>
      </c>
      <c r="H253" s="15"/>
      <c r="I253" s="15"/>
      <c r="J253" s="15"/>
      <c r="K253" s="15"/>
      <c r="L253" s="15"/>
      <c r="M253" s="15"/>
      <c r="N253" t="str">
        <f t="shared" si="8"/>
        <v>ActivityQuickAssessment(ST)-Test(CSOD)Test Instructions</v>
      </c>
      <c r="O253" t="str">
        <f t="shared" si="7"/>
        <v/>
      </c>
      <c r="P253" t="str">
        <f>VLOOKUP(N253,'[1]Sheet1 (2)'!$L:$M,2,0)</f>
        <v/>
      </c>
    </row>
    <row r="254" spans="1:16" hidden="1" x14ac:dyDescent="0.2">
      <c r="A254" s="13" t="s">
        <v>46</v>
      </c>
      <c r="B254" s="13" t="s">
        <v>290</v>
      </c>
      <c r="C254" s="13" t="s">
        <v>261</v>
      </c>
      <c r="D254" s="15" t="s">
        <v>280</v>
      </c>
      <c r="E254" s="15" t="s">
        <v>17</v>
      </c>
      <c r="F254" s="15" t="s">
        <v>96</v>
      </c>
      <c r="G254" s="15">
        <v>300</v>
      </c>
      <c r="H254" s="15">
        <v>0</v>
      </c>
      <c r="I254" s="15"/>
      <c r="J254" s="15" t="s">
        <v>115</v>
      </c>
      <c r="K254" s="15" t="s">
        <v>116</v>
      </c>
      <c r="L254" s="15"/>
      <c r="M254" s="15"/>
      <c r="N254" t="str">
        <f t="shared" si="8"/>
        <v>ActivityQuickAssessment(ST)-Test(CSOD)Time Limit</v>
      </c>
      <c r="O254">
        <f t="shared" si="7"/>
        <v>0</v>
      </c>
      <c r="P254" t="str">
        <f>VLOOKUP(N254,'[1]Sheet1 (2)'!$L:$M,2,0)</f>
        <v/>
      </c>
    </row>
    <row r="255" spans="1:16" hidden="1" x14ac:dyDescent="0.2">
      <c r="A255" s="13" t="s">
        <v>46</v>
      </c>
      <c r="B255" s="13" t="s">
        <v>290</v>
      </c>
      <c r="C255" s="13" t="s">
        <v>261</v>
      </c>
      <c r="D255" s="15" t="s">
        <v>281</v>
      </c>
      <c r="E255" s="15" t="s">
        <v>17</v>
      </c>
      <c r="F255" s="15" t="s">
        <v>96</v>
      </c>
      <c r="G255" s="15">
        <v>100</v>
      </c>
      <c r="H255" s="15">
        <v>0</v>
      </c>
      <c r="I255" s="15"/>
      <c r="J255" s="15" t="s">
        <v>282</v>
      </c>
      <c r="K255" s="15" t="s">
        <v>172</v>
      </c>
      <c r="L255" s="15"/>
      <c r="M255" s="15"/>
      <c r="N255" t="str">
        <f t="shared" si="8"/>
        <v>ActivityQuickAssessment(ST)-Test(CSOD)Passing Score Percentage</v>
      </c>
      <c r="O255">
        <f t="shared" si="7"/>
        <v>0</v>
      </c>
      <c r="P255" t="str">
        <f>VLOOKUP(N255,'[1]Sheet1 (2)'!$L:$M,2,0)</f>
        <v/>
      </c>
    </row>
    <row r="256" spans="1:16" hidden="1" x14ac:dyDescent="0.2">
      <c r="A256" s="13" t="s">
        <v>46</v>
      </c>
      <c r="B256" s="13" t="s">
        <v>290</v>
      </c>
      <c r="C256" s="13" t="s">
        <v>261</v>
      </c>
      <c r="D256" s="15" t="s">
        <v>283</v>
      </c>
      <c r="E256" s="15" t="s">
        <v>17</v>
      </c>
      <c r="F256" s="15" t="s">
        <v>11</v>
      </c>
      <c r="G256" s="15"/>
      <c r="H256" s="15" t="s">
        <v>284</v>
      </c>
      <c r="I256" s="15"/>
      <c r="J256" s="15"/>
      <c r="K256" s="15"/>
      <c r="L256" s="15"/>
      <c r="M256" s="15"/>
      <c r="N256" t="str">
        <f t="shared" si="8"/>
        <v>ActivityQuickAssessment(ST)-Test(CSOD)Early Exit</v>
      </c>
      <c r="O256" t="str">
        <f t="shared" si="7"/>
        <v>Save any progress and return</v>
      </c>
      <c r="P256" t="str">
        <f>VLOOKUP(N256,'[1]Sheet1 (2)'!$L:$M,2,0)</f>
        <v/>
      </c>
    </row>
    <row r="257" spans="1:16" ht="48" hidden="1" x14ac:dyDescent="0.2">
      <c r="A257" s="13" t="s">
        <v>46</v>
      </c>
      <c r="B257" s="13" t="s">
        <v>290</v>
      </c>
      <c r="C257" s="13" t="s">
        <v>261</v>
      </c>
      <c r="D257" s="15" t="s">
        <v>285</v>
      </c>
      <c r="E257" s="15" t="s">
        <v>17</v>
      </c>
      <c r="F257" s="15" t="s">
        <v>18</v>
      </c>
      <c r="G257" s="15"/>
      <c r="H257" s="15" t="b">
        <v>0</v>
      </c>
      <c r="I257" s="17" t="s">
        <v>19</v>
      </c>
      <c r="J257" s="15"/>
      <c r="K257" s="15"/>
      <c r="L257" s="15"/>
      <c r="M257" s="15"/>
      <c r="N257" t="str">
        <f t="shared" si="8"/>
        <v>ActivityQuickAssessment(ST)-Test(CSOD)Randomize Sections</v>
      </c>
      <c r="O257" t="b">
        <f t="shared" si="7"/>
        <v>0</v>
      </c>
      <c r="P257" t="b">
        <f>VLOOKUP(N257,'[1]Sheet1 (2)'!$L:$M,2,0)</f>
        <v>0</v>
      </c>
    </row>
    <row r="258" spans="1:16" ht="48" hidden="1" x14ac:dyDescent="0.2">
      <c r="A258" s="13" t="s">
        <v>46</v>
      </c>
      <c r="B258" s="13" t="s">
        <v>290</v>
      </c>
      <c r="C258" s="13" t="s">
        <v>261</v>
      </c>
      <c r="D258" s="15" t="s">
        <v>286</v>
      </c>
      <c r="E258" s="15" t="s">
        <v>17</v>
      </c>
      <c r="F258" s="15" t="s">
        <v>18</v>
      </c>
      <c r="G258" s="15"/>
      <c r="H258" s="15" t="b">
        <v>0</v>
      </c>
      <c r="I258" s="17" t="s">
        <v>19</v>
      </c>
      <c r="J258" s="15" t="s">
        <v>287</v>
      </c>
      <c r="K258" s="15" t="s">
        <v>172</v>
      </c>
      <c r="L258" s="15"/>
      <c r="M258" s="15" t="s">
        <v>26</v>
      </c>
      <c r="N258" t="str">
        <f t="shared" si="8"/>
        <v>ActivityQuickAssessment(ST)-Test(CSOD)Randomize Questions</v>
      </c>
      <c r="O258" t="b">
        <f t="shared" si="7"/>
        <v>0</v>
      </c>
      <c r="P258" t="b">
        <f>VLOOKUP(N258,'[1]Sheet1 (2)'!$L:$M,2,0)</f>
        <v>0</v>
      </c>
    </row>
    <row r="259" spans="1:16" hidden="1" x14ac:dyDescent="0.2">
      <c r="A259" s="13" t="s">
        <v>46</v>
      </c>
      <c r="B259" s="13" t="s">
        <v>290</v>
      </c>
      <c r="C259" s="13" t="s">
        <v>261</v>
      </c>
      <c r="D259" s="15" t="s">
        <v>288</v>
      </c>
      <c r="E259" s="15" t="s">
        <v>17</v>
      </c>
      <c r="F259" s="15" t="s">
        <v>11</v>
      </c>
      <c r="G259" s="15">
        <v>50</v>
      </c>
      <c r="H259" s="15"/>
      <c r="I259" s="15"/>
      <c r="J259" s="15" t="s">
        <v>289</v>
      </c>
      <c r="K259" s="15" t="s">
        <v>13</v>
      </c>
      <c r="L259" s="15">
        <v>50</v>
      </c>
      <c r="M259" s="15"/>
      <c r="N259" t="str">
        <f t="shared" si="8"/>
        <v>ActivityQuickAssessment(ST)-Test(CSOD)Question Reference Number</v>
      </c>
      <c r="O259" t="str">
        <f t="shared" ref="O259:O322" si="9">IF(H259="","",H259)</f>
        <v/>
      </c>
      <c r="P259" t="str">
        <f>VLOOKUP(N259,'[1]Sheet1 (2)'!$L:$M,2,0)</f>
        <v/>
      </c>
    </row>
    <row r="260" spans="1:16" hidden="1" x14ac:dyDescent="0.2">
      <c r="A260" s="13" t="s">
        <v>46</v>
      </c>
      <c r="B260" s="13" t="s">
        <v>290</v>
      </c>
      <c r="C260" s="13" t="s">
        <v>261</v>
      </c>
      <c r="D260" s="15" t="s">
        <v>80</v>
      </c>
      <c r="E260" s="15" t="s">
        <v>17</v>
      </c>
      <c r="F260" s="15" t="s">
        <v>96</v>
      </c>
      <c r="G260" s="15"/>
      <c r="H260" s="15">
        <v>0</v>
      </c>
      <c r="I260" s="15"/>
      <c r="J260" s="15"/>
      <c r="K260" s="15"/>
      <c r="L260" s="15"/>
      <c r="M260" s="15"/>
      <c r="N260" t="str">
        <f t="shared" si="8"/>
        <v>ActivityQuickAssessment(ST)-Test(CSOD)Recurrence</v>
      </c>
      <c r="O260">
        <f t="shared" si="9"/>
        <v>0</v>
      </c>
      <c r="P260" t="e">
        <f>VLOOKUP(N260,'[1]Sheet1 (2)'!$L:$M,2,0)</f>
        <v>#N/A</v>
      </c>
    </row>
    <row r="261" spans="1:16" hidden="1" x14ac:dyDescent="0.2">
      <c r="A261" s="13" t="s">
        <v>46</v>
      </c>
      <c r="B261" s="13" t="s">
        <v>290</v>
      </c>
      <c r="C261" s="13" t="s">
        <v>261</v>
      </c>
      <c r="D261" s="15" t="s">
        <v>81</v>
      </c>
      <c r="E261" s="15" t="s">
        <v>17</v>
      </c>
      <c r="F261" s="15" t="s">
        <v>11</v>
      </c>
      <c r="G261" s="15">
        <v>50</v>
      </c>
      <c r="H261" s="15"/>
      <c r="I261" s="15"/>
      <c r="J261" s="15"/>
      <c r="K261" s="15"/>
      <c r="L261" s="15"/>
      <c r="M261" s="15"/>
      <c r="N261" t="str">
        <f t="shared" si="8"/>
        <v>ActivityQuickAssessment(ST)-Test(CSOD)Thumbnail</v>
      </c>
      <c r="O261" t="str">
        <f t="shared" si="9"/>
        <v/>
      </c>
      <c r="P261" t="str">
        <f>VLOOKUP(N261,'[1]Sheet1 (2)'!$L:$M,2,0)</f>
        <v/>
      </c>
    </row>
    <row r="262" spans="1:16" ht="48" hidden="1" x14ac:dyDescent="0.2">
      <c r="A262" s="13" t="s">
        <v>46</v>
      </c>
      <c r="B262" s="13" t="s">
        <v>290</v>
      </c>
      <c r="C262" s="13" t="s">
        <v>261</v>
      </c>
      <c r="D262" s="15" t="s">
        <v>83</v>
      </c>
      <c r="E262" s="15" t="s">
        <v>17</v>
      </c>
      <c r="F262" s="15" t="s">
        <v>18</v>
      </c>
      <c r="G262" s="15"/>
      <c r="H262" s="15" t="b">
        <v>0</v>
      </c>
      <c r="I262" s="17" t="s">
        <v>19</v>
      </c>
      <c r="J262" s="15"/>
      <c r="K262" s="15"/>
      <c r="L262" s="15"/>
      <c r="M262" s="15"/>
      <c r="N262" t="str">
        <f t="shared" si="8"/>
        <v>ActivityQuickAssessment(ST)-Test(CSOD)Exclude from Course Recommendations</v>
      </c>
      <c r="O262" t="b">
        <f t="shared" si="9"/>
        <v>0</v>
      </c>
      <c r="P262" t="e">
        <f>VLOOKUP(N262,'[1]Sheet1 (2)'!$L:$M,2,0)</f>
        <v>#N/A</v>
      </c>
    </row>
    <row r="263" spans="1:16" hidden="1" x14ac:dyDescent="0.2">
      <c r="A263" s="13" t="s">
        <v>46</v>
      </c>
      <c r="B263" s="13" t="s">
        <v>290</v>
      </c>
      <c r="C263" s="13" t="s">
        <v>261</v>
      </c>
      <c r="D263" s="15" t="s">
        <v>130</v>
      </c>
      <c r="E263" s="15" t="s">
        <v>17</v>
      </c>
      <c r="F263" s="15" t="s">
        <v>11</v>
      </c>
      <c r="G263" s="15"/>
      <c r="H263" s="15"/>
      <c r="I263" s="15"/>
      <c r="J263" s="15"/>
      <c r="K263" s="15"/>
      <c r="L263" s="15"/>
      <c r="M263" s="15"/>
      <c r="N263" t="str">
        <f t="shared" ref="N263:N326" si="10">_xlfn.CONCAT(A263,C263,D263)</f>
        <v>ActivityQuickAssessment(ST)-Test(CSOD)Training Purpose</v>
      </c>
      <c r="O263" t="str">
        <f t="shared" si="9"/>
        <v/>
      </c>
      <c r="P263" t="e">
        <f>VLOOKUP(N263,'[1]Sheet1 (2)'!$L:$M,2,0)</f>
        <v>#N/A</v>
      </c>
    </row>
    <row r="264" spans="1:16" hidden="1" x14ac:dyDescent="0.2">
      <c r="A264" s="13" t="s">
        <v>46</v>
      </c>
      <c r="B264" s="13" t="s">
        <v>290</v>
      </c>
      <c r="C264" s="13" t="s">
        <v>261</v>
      </c>
      <c r="D264" s="15" t="s">
        <v>131</v>
      </c>
      <c r="E264" s="15" t="s">
        <v>17</v>
      </c>
      <c r="F264" s="15" t="s">
        <v>11</v>
      </c>
      <c r="G264" s="15">
        <v>1000</v>
      </c>
      <c r="H264" s="15"/>
      <c r="I264" s="15"/>
      <c r="J264" s="15"/>
      <c r="K264" s="15"/>
      <c r="L264" s="15"/>
      <c r="M264" s="15"/>
      <c r="N264" t="str">
        <f t="shared" si="10"/>
        <v>ActivityQuickAssessment(ST)-Test(CSOD)Points</v>
      </c>
      <c r="O264" t="str">
        <f t="shared" si="9"/>
        <v/>
      </c>
      <c r="P264" t="e">
        <f>VLOOKUP(N264,'[1]Sheet1 (2)'!$L:$M,2,0)</f>
        <v>#N/A</v>
      </c>
    </row>
    <row r="265" spans="1:16" hidden="1" x14ac:dyDescent="0.2">
      <c r="A265" s="13" t="s">
        <v>46</v>
      </c>
      <c r="B265" s="13" t="s">
        <v>290</v>
      </c>
      <c r="C265" s="13" t="s">
        <v>261</v>
      </c>
      <c r="D265" s="15" t="s">
        <v>132</v>
      </c>
      <c r="E265" s="15" t="s">
        <v>17</v>
      </c>
      <c r="F265" s="15" t="s">
        <v>11</v>
      </c>
      <c r="G265" s="15"/>
      <c r="H265" s="15"/>
      <c r="I265" s="15"/>
      <c r="J265" s="15"/>
      <c r="K265" s="15"/>
      <c r="L265" s="15"/>
      <c r="M265" s="15"/>
      <c r="N265" t="str">
        <f t="shared" si="10"/>
        <v>ActivityQuickAssessment(ST)-Test(CSOD)Badge</v>
      </c>
      <c r="O265" t="str">
        <f t="shared" si="9"/>
        <v/>
      </c>
      <c r="P265" t="e">
        <f>VLOOKUP(N265,'[1]Sheet1 (2)'!$L:$M,2,0)</f>
        <v>#N/A</v>
      </c>
    </row>
    <row r="266" spans="1:16" ht="32" hidden="1" x14ac:dyDescent="0.2">
      <c r="A266" s="13" t="s">
        <v>46</v>
      </c>
      <c r="B266" s="13" t="s">
        <v>290</v>
      </c>
      <c r="C266" s="13" t="s">
        <v>261</v>
      </c>
      <c r="D266" s="15" t="s">
        <v>84</v>
      </c>
      <c r="E266" s="15" t="s">
        <v>17</v>
      </c>
      <c r="F266" s="15" t="s">
        <v>85</v>
      </c>
      <c r="G266" s="15"/>
      <c r="H266" s="22" t="s">
        <v>86</v>
      </c>
      <c r="I266" s="17" t="s">
        <v>133</v>
      </c>
      <c r="J266" s="15"/>
      <c r="K266" s="15"/>
      <c r="L266" s="15"/>
      <c r="M266" s="15"/>
      <c r="N266" t="str">
        <f t="shared" si="10"/>
        <v>ActivityQuickAssessment(ST)-Test(CSOD)Emails</v>
      </c>
      <c r="O266" t="str">
        <f t="shared" si="9"/>
        <v>No Email</v>
      </c>
      <c r="P266" t="e">
        <f>VLOOKUP(N266,'[1]Sheet1 (2)'!$L:$M,2,0)</f>
        <v>#N/A</v>
      </c>
    </row>
    <row r="267" spans="1:16" hidden="1" x14ac:dyDescent="0.2">
      <c r="A267" s="13" t="s">
        <v>46</v>
      </c>
      <c r="B267" s="13"/>
      <c r="C267" s="13" t="s">
        <v>291</v>
      </c>
      <c r="D267" s="15" t="s">
        <v>292</v>
      </c>
      <c r="E267" s="15" t="s">
        <v>10</v>
      </c>
      <c r="F267" s="15" t="s">
        <v>11</v>
      </c>
      <c r="G267" s="15">
        <v>100</v>
      </c>
      <c r="H267" s="15"/>
      <c r="I267" s="15"/>
      <c r="J267" s="15" t="s">
        <v>94</v>
      </c>
      <c r="K267" s="15" t="s">
        <v>13</v>
      </c>
      <c r="L267" s="15">
        <v>255</v>
      </c>
      <c r="M267" s="15"/>
      <c r="N267" t="str">
        <f t="shared" si="10"/>
        <v>ActivityQuickAssessment(ST)-TestMapping(CSOD)Test ID</v>
      </c>
      <c r="O267" t="str">
        <f t="shared" si="9"/>
        <v/>
      </c>
      <c r="P267" t="str">
        <f>VLOOKUP(N267,'[1]Sheet1 (2)'!$L:$M,2,0)</f>
        <v/>
      </c>
    </row>
    <row r="268" spans="1:16" hidden="1" x14ac:dyDescent="0.2">
      <c r="A268" s="13" t="s">
        <v>46</v>
      </c>
      <c r="B268" s="13"/>
      <c r="C268" s="13" t="s">
        <v>291</v>
      </c>
      <c r="D268" s="15" t="s">
        <v>288</v>
      </c>
      <c r="E268" s="15" t="s">
        <v>10</v>
      </c>
      <c r="F268" s="15" t="s">
        <v>11</v>
      </c>
      <c r="G268" s="15">
        <v>50</v>
      </c>
      <c r="H268" s="15"/>
      <c r="I268" s="15"/>
      <c r="J268" s="15" t="s">
        <v>289</v>
      </c>
      <c r="K268" s="15" t="s">
        <v>13</v>
      </c>
      <c r="L268" s="15">
        <v>50</v>
      </c>
      <c r="M268" s="15"/>
      <c r="N268" t="str">
        <f t="shared" si="10"/>
        <v>ActivityQuickAssessment(ST)-TestMapping(CSOD)Question Reference Number</v>
      </c>
      <c r="O268" t="str">
        <f t="shared" si="9"/>
        <v/>
      </c>
      <c r="P268" t="str">
        <f>VLOOKUP(N268,'[1]Sheet1 (2)'!$L:$M,2,0)</f>
        <v/>
      </c>
    </row>
    <row r="269" spans="1:16" hidden="1" x14ac:dyDescent="0.2">
      <c r="A269" s="13" t="s">
        <v>46</v>
      </c>
      <c r="B269" s="13"/>
      <c r="C269" s="13" t="s">
        <v>291</v>
      </c>
      <c r="D269" s="15" t="s">
        <v>293</v>
      </c>
      <c r="E269" s="15" t="s">
        <v>10</v>
      </c>
      <c r="F269" s="15" t="s">
        <v>96</v>
      </c>
      <c r="G269" s="15"/>
      <c r="H269" s="15">
        <v>1</v>
      </c>
      <c r="I269" s="15"/>
      <c r="J269" s="15"/>
      <c r="K269" s="15"/>
      <c r="L269" s="15"/>
      <c r="M269" s="15"/>
      <c r="N269" t="str">
        <f t="shared" si="10"/>
        <v>ActivityQuickAssessment(ST)-TestMapping(CSOD)Section Number</v>
      </c>
      <c r="O269">
        <f t="shared" si="9"/>
        <v>1</v>
      </c>
      <c r="P269" t="str">
        <f>VLOOKUP(N269,'[1]Sheet1 (2)'!$L:$M,2,0)</f>
        <v/>
      </c>
    </row>
    <row r="270" spans="1:16" hidden="1" x14ac:dyDescent="0.2">
      <c r="A270" s="13" t="s">
        <v>46</v>
      </c>
      <c r="B270" s="13"/>
      <c r="C270" s="13" t="s">
        <v>291</v>
      </c>
      <c r="D270" s="15" t="s">
        <v>49</v>
      </c>
      <c r="E270" s="15" t="s">
        <v>17</v>
      </c>
      <c r="F270" s="15" t="s">
        <v>11</v>
      </c>
      <c r="G270" s="15">
        <v>2000</v>
      </c>
      <c r="H270" s="15" t="s">
        <v>98</v>
      </c>
      <c r="I270" s="15"/>
      <c r="J270" s="15" t="s">
        <v>50</v>
      </c>
      <c r="K270" s="15" t="s">
        <v>13</v>
      </c>
      <c r="L270" s="15">
        <v>255</v>
      </c>
      <c r="M270" s="15"/>
      <c r="N270" t="str">
        <f t="shared" si="10"/>
        <v>ActivityQuickAssessment(ST)-TestMapping(CSOD)Section Name</v>
      </c>
      <c r="O270" t="str">
        <f t="shared" si="9"/>
        <v>Current Section Name</v>
      </c>
      <c r="P270" t="str">
        <f>VLOOKUP(N270,'[1]Sheet1 (2)'!$L:$M,2,0)</f>
        <v/>
      </c>
    </row>
    <row r="271" spans="1:16" hidden="1" x14ac:dyDescent="0.2">
      <c r="A271" s="13" t="s">
        <v>46</v>
      </c>
      <c r="B271" s="13"/>
      <c r="C271" s="13" t="s">
        <v>291</v>
      </c>
      <c r="D271" s="15" t="s">
        <v>294</v>
      </c>
      <c r="E271" s="15" t="s">
        <v>17</v>
      </c>
      <c r="F271" s="15" t="s">
        <v>11</v>
      </c>
      <c r="G271" s="15">
        <v>3500</v>
      </c>
      <c r="H271" s="15"/>
      <c r="I271" s="15"/>
      <c r="J271" s="15"/>
      <c r="K271" s="15"/>
      <c r="L271" s="15"/>
      <c r="M271" s="15"/>
      <c r="N271" t="str">
        <f t="shared" si="10"/>
        <v>ActivityQuickAssessment(ST)-TestMapping(CSOD)Section Description</v>
      </c>
      <c r="O271" t="str">
        <f t="shared" si="9"/>
        <v/>
      </c>
      <c r="P271" t="str">
        <f>VLOOKUP(N271,'[1]Sheet1 (2)'!$L:$M,2,0)</f>
        <v/>
      </c>
    </row>
    <row r="272" spans="1:16" hidden="1" x14ac:dyDescent="0.2">
      <c r="A272" s="13" t="s">
        <v>46</v>
      </c>
      <c r="B272" s="13"/>
      <c r="C272" s="13" t="s">
        <v>291</v>
      </c>
      <c r="D272" s="15" t="s">
        <v>295</v>
      </c>
      <c r="E272" s="15" t="s">
        <v>17</v>
      </c>
      <c r="F272" s="15" t="s">
        <v>96</v>
      </c>
      <c r="G272" s="15"/>
      <c r="H272" s="15">
        <v>1</v>
      </c>
      <c r="I272" s="15"/>
      <c r="J272" s="15"/>
      <c r="K272" s="15"/>
      <c r="L272" s="15"/>
      <c r="M272" s="15"/>
      <c r="N272" t="str">
        <f t="shared" si="10"/>
        <v>ActivityQuickAssessment(ST)-TestMapping(CSOD)Order Number</v>
      </c>
      <c r="O272">
        <f t="shared" si="9"/>
        <v>1</v>
      </c>
      <c r="P272">
        <f>VLOOKUP(N272,'[1]Sheet1 (2)'!$L:$M,2,0)</f>
        <v>1</v>
      </c>
    </row>
    <row r="273" spans="1:16" hidden="1" x14ac:dyDescent="0.2">
      <c r="A273" s="13" t="s">
        <v>46</v>
      </c>
      <c r="B273" s="13"/>
      <c r="C273" s="13" t="s">
        <v>291</v>
      </c>
      <c r="D273" s="15" t="s">
        <v>296</v>
      </c>
      <c r="E273" s="15" t="s">
        <v>17</v>
      </c>
      <c r="F273" s="15" t="s">
        <v>96</v>
      </c>
      <c r="G273" s="15"/>
      <c r="H273" s="15">
        <v>1</v>
      </c>
      <c r="I273" s="15"/>
      <c r="J273" s="15"/>
      <c r="K273" s="15"/>
      <c r="L273" s="15"/>
      <c r="M273" s="15"/>
      <c r="N273" t="str">
        <f t="shared" si="10"/>
        <v>ActivityQuickAssessment(ST)-TestMapping(CSOD)Questions per Section Display</v>
      </c>
      <c r="O273">
        <f t="shared" si="9"/>
        <v>1</v>
      </c>
      <c r="P273">
        <f>VLOOKUP(N273,'[1]Sheet1 (2)'!$L:$M,2,0)</f>
        <v>1</v>
      </c>
    </row>
    <row r="274" spans="1:16" ht="48" hidden="1" x14ac:dyDescent="0.2">
      <c r="A274" s="13" t="s">
        <v>46</v>
      </c>
      <c r="B274" s="13"/>
      <c r="C274" s="13" t="s">
        <v>291</v>
      </c>
      <c r="D274" s="15" t="s">
        <v>297</v>
      </c>
      <c r="E274" s="15" t="s">
        <v>17</v>
      </c>
      <c r="F274" s="15" t="s">
        <v>18</v>
      </c>
      <c r="G274" s="15"/>
      <c r="H274" s="22" t="b">
        <v>0</v>
      </c>
      <c r="I274" s="17" t="s">
        <v>19</v>
      </c>
      <c r="J274" s="15"/>
      <c r="K274" s="15"/>
      <c r="L274" s="15"/>
      <c r="M274" s="15"/>
      <c r="N274" t="str">
        <f t="shared" si="10"/>
        <v>ActivityQuickAssessment(ST)-TestMapping(CSOD)Always Include Question</v>
      </c>
      <c r="O274" t="b">
        <f t="shared" si="9"/>
        <v>0</v>
      </c>
      <c r="P274" t="b">
        <f>VLOOKUP(N274,'[1]Sheet1 (2)'!$L:$M,2,0)</f>
        <v>0</v>
      </c>
    </row>
    <row r="275" spans="1:16" hidden="1" x14ac:dyDescent="0.2">
      <c r="A275" s="13" t="s">
        <v>302</v>
      </c>
      <c r="B275" s="13" t="s">
        <v>303</v>
      </c>
      <c r="C275" s="13" t="s">
        <v>301</v>
      </c>
      <c r="D275" s="15" t="s">
        <v>304</v>
      </c>
      <c r="E275" s="15" t="s">
        <v>10</v>
      </c>
      <c r="F275" s="15" t="s">
        <v>11</v>
      </c>
      <c r="G275" s="15">
        <v>100</v>
      </c>
      <c r="H275" s="15"/>
      <c r="I275" s="15"/>
      <c r="J275" s="15" t="s">
        <v>305</v>
      </c>
      <c r="K275" s="15" t="s">
        <v>13</v>
      </c>
      <c r="L275" s="15">
        <v>30</v>
      </c>
      <c r="M275" s="15"/>
      <c r="N275" t="str">
        <f t="shared" si="10"/>
        <v>CoreAudience(ST)-GroupsOU(CSOD)OU ID*</v>
      </c>
      <c r="O275" t="str">
        <f t="shared" si="9"/>
        <v/>
      </c>
      <c r="P275" t="str">
        <f>VLOOKUP(N275,'[1]Sheet1 (2)'!$L:$M,2,0)</f>
        <v/>
      </c>
    </row>
    <row r="276" spans="1:16" hidden="1" x14ac:dyDescent="0.2">
      <c r="A276" s="13" t="s">
        <v>302</v>
      </c>
      <c r="B276" s="13" t="s">
        <v>303</v>
      </c>
      <c r="C276" s="13" t="s">
        <v>301</v>
      </c>
      <c r="D276" s="15" t="s">
        <v>306</v>
      </c>
      <c r="E276" s="15" t="s">
        <v>10</v>
      </c>
      <c r="F276" s="15" t="s">
        <v>11</v>
      </c>
      <c r="G276" s="15">
        <v>1000</v>
      </c>
      <c r="H276" s="15"/>
      <c r="I276" s="15"/>
      <c r="J276" s="15" t="s">
        <v>307</v>
      </c>
      <c r="K276" s="15" t="s">
        <v>13</v>
      </c>
      <c r="L276" s="15">
        <v>255</v>
      </c>
      <c r="M276" s="15"/>
      <c r="N276" t="str">
        <f t="shared" si="10"/>
        <v>CoreAudience(ST)-GroupsOU(CSOD)OU Name*</v>
      </c>
      <c r="O276" t="str">
        <f t="shared" si="9"/>
        <v/>
      </c>
      <c r="P276" t="str">
        <f>VLOOKUP(N276,'[1]Sheet1 (2)'!$L:$M,2,0)</f>
        <v/>
      </c>
    </row>
    <row r="277" spans="1:16" ht="48" hidden="1" x14ac:dyDescent="0.2">
      <c r="A277" s="13" t="s">
        <v>302</v>
      </c>
      <c r="B277" s="13" t="s">
        <v>303</v>
      </c>
      <c r="C277" s="13" t="s">
        <v>301</v>
      </c>
      <c r="D277" s="15" t="s">
        <v>16</v>
      </c>
      <c r="E277" s="15" t="s">
        <v>17</v>
      </c>
      <c r="F277" s="15" t="s">
        <v>18</v>
      </c>
      <c r="G277" s="15"/>
      <c r="H277" s="15">
        <v>1</v>
      </c>
      <c r="I277" s="17" t="s">
        <v>19</v>
      </c>
      <c r="J277" s="15" t="s">
        <v>308</v>
      </c>
      <c r="K277" s="15" t="s">
        <v>25</v>
      </c>
      <c r="L277" s="15"/>
      <c r="M277" s="15" t="s">
        <v>309</v>
      </c>
      <c r="N277" t="str">
        <f t="shared" si="10"/>
        <v>CoreAudience(ST)-GroupsOU(CSOD)Active</v>
      </c>
      <c r="O277">
        <f t="shared" si="9"/>
        <v>1</v>
      </c>
      <c r="P277">
        <f>VLOOKUP(N277,'[1]Sheet1 (2)'!$L:$M,2,0)</f>
        <v>1</v>
      </c>
    </row>
    <row r="278" spans="1:16" ht="48" hidden="1" x14ac:dyDescent="0.2">
      <c r="A278" s="13" t="s">
        <v>302</v>
      </c>
      <c r="B278" s="13" t="s">
        <v>303</v>
      </c>
      <c r="C278" s="13" t="s">
        <v>301</v>
      </c>
      <c r="D278" s="15" t="s">
        <v>310</v>
      </c>
      <c r="E278" s="15" t="s">
        <v>17</v>
      </c>
      <c r="F278" s="15" t="s">
        <v>18</v>
      </c>
      <c r="G278" s="15"/>
      <c r="H278" s="15">
        <v>0</v>
      </c>
      <c r="I278" s="17" t="s">
        <v>19</v>
      </c>
      <c r="J278" s="15"/>
      <c r="K278" s="15"/>
      <c r="L278" s="15"/>
      <c r="M278" s="15"/>
      <c r="N278" t="str">
        <f t="shared" si="10"/>
        <v>CoreAudience(ST)-GroupsOU(CSOD)Allow Reconciliation</v>
      </c>
      <c r="O278">
        <f t="shared" si="9"/>
        <v>0</v>
      </c>
      <c r="P278">
        <f>VLOOKUP(N278,'[1]Sheet1 (2)'!$L:$M,2,0)</f>
        <v>0</v>
      </c>
    </row>
    <row r="279" spans="1:16" hidden="1" x14ac:dyDescent="0.2">
      <c r="A279" s="13" t="s">
        <v>302</v>
      </c>
      <c r="B279" s="13" t="s">
        <v>303</v>
      </c>
      <c r="C279" s="13" t="s">
        <v>301</v>
      </c>
      <c r="D279" s="15" t="s">
        <v>29</v>
      </c>
      <c r="E279" s="15" t="s">
        <v>17</v>
      </c>
      <c r="F279" s="15" t="s">
        <v>11</v>
      </c>
      <c r="G279" s="15">
        <v>100</v>
      </c>
      <c r="H279" s="15"/>
      <c r="I279" s="15"/>
      <c r="J279" s="15"/>
      <c r="K279" s="15"/>
      <c r="L279" s="15"/>
      <c r="M279" s="15"/>
      <c r="N279" t="str">
        <f t="shared" si="10"/>
        <v>CoreAudience(ST)-GroupsOU(CSOD)Parent ID</v>
      </c>
      <c r="O279" t="str">
        <f t="shared" si="9"/>
        <v/>
      </c>
      <c r="P279" t="str">
        <f>VLOOKUP(N279,'[1]Sheet1 (2)'!$L:$M,2,0)</f>
        <v/>
      </c>
    </row>
    <row r="280" spans="1:16" hidden="1" x14ac:dyDescent="0.2">
      <c r="A280" s="13" t="s">
        <v>302</v>
      </c>
      <c r="B280" s="13" t="s">
        <v>303</v>
      </c>
      <c r="C280" s="13" t="s">
        <v>301</v>
      </c>
      <c r="D280" s="15" t="s">
        <v>42</v>
      </c>
      <c r="E280" s="15" t="s">
        <v>17</v>
      </c>
      <c r="F280" s="15" t="s">
        <v>11</v>
      </c>
      <c r="G280" s="15">
        <v>100</v>
      </c>
      <c r="H280" s="15"/>
      <c r="I280" s="15"/>
      <c r="J280" s="15"/>
      <c r="K280" s="15"/>
      <c r="L280" s="15"/>
      <c r="M280" s="15"/>
      <c r="N280" t="str">
        <f t="shared" si="10"/>
        <v>CoreAudience(ST)-GroupsOU(CSOD)Owner ID</v>
      </c>
      <c r="O280" t="str">
        <f t="shared" si="9"/>
        <v/>
      </c>
      <c r="P280" t="str">
        <f>VLOOKUP(N280,'[1]Sheet1 (2)'!$L:$M,2,0)</f>
        <v/>
      </c>
    </row>
    <row r="281" spans="1:16" hidden="1" x14ac:dyDescent="0.2">
      <c r="A281" s="13" t="s">
        <v>302</v>
      </c>
      <c r="B281" s="13" t="s">
        <v>303</v>
      </c>
      <c r="C281" s="13" t="s">
        <v>301</v>
      </c>
      <c r="D281" s="15" t="s">
        <v>65</v>
      </c>
      <c r="E281" s="15" t="s">
        <v>17</v>
      </c>
      <c r="F281" s="15" t="s">
        <v>11</v>
      </c>
      <c r="G281" s="15">
        <v>4000</v>
      </c>
      <c r="H281" s="15"/>
      <c r="I281" s="15"/>
      <c r="J281" s="15" t="s">
        <v>311</v>
      </c>
      <c r="K281" s="15" t="s">
        <v>312</v>
      </c>
      <c r="L281" s="15" t="s">
        <v>313</v>
      </c>
      <c r="M281" s="15"/>
      <c r="N281" t="str">
        <f t="shared" si="10"/>
        <v>CoreAudience(ST)-GroupsOU(CSOD)Description</v>
      </c>
      <c r="O281" t="str">
        <f t="shared" si="9"/>
        <v/>
      </c>
      <c r="P281" t="str">
        <f>VLOOKUP(N281,'[1]Sheet1 (2)'!$L:$M,2,0)</f>
        <v/>
      </c>
    </row>
    <row r="282" spans="1:16" ht="48" hidden="1" x14ac:dyDescent="0.2">
      <c r="A282" s="13" t="s">
        <v>302</v>
      </c>
      <c r="B282" s="13" t="s">
        <v>303</v>
      </c>
      <c r="C282" s="13" t="s">
        <v>301</v>
      </c>
      <c r="D282" s="15" t="s">
        <v>314</v>
      </c>
      <c r="E282" s="15" t="s">
        <v>17</v>
      </c>
      <c r="F282" s="15" t="s">
        <v>18</v>
      </c>
      <c r="G282" s="15"/>
      <c r="H282" s="15">
        <v>0</v>
      </c>
      <c r="I282" s="17" t="s">
        <v>19</v>
      </c>
      <c r="J282" s="15"/>
      <c r="K282" s="15"/>
      <c r="L282" s="15"/>
      <c r="M282" s="15"/>
      <c r="N282" t="str">
        <f t="shared" si="10"/>
        <v>CoreAudience(ST)-GroupsOU(CSOD)Freeze Group Processing</v>
      </c>
      <c r="O282">
        <f t="shared" si="9"/>
        <v>0</v>
      </c>
      <c r="P282">
        <f>VLOOKUP(N282,'[1]Sheet1 (2)'!$L:$M,2,0)</f>
        <v>0</v>
      </c>
    </row>
    <row r="283" spans="1:16" hidden="1" x14ac:dyDescent="0.2">
      <c r="A283" s="13" t="s">
        <v>302</v>
      </c>
      <c r="B283" s="13" t="s">
        <v>316</v>
      </c>
      <c r="C283" s="13" t="s">
        <v>315</v>
      </c>
      <c r="D283" s="15" t="s">
        <v>304</v>
      </c>
      <c r="E283" s="15" t="s">
        <v>10</v>
      </c>
      <c r="F283" s="15" t="s">
        <v>11</v>
      </c>
      <c r="G283" s="15">
        <v>100</v>
      </c>
      <c r="H283" s="15"/>
      <c r="I283" s="15"/>
      <c r="J283" s="15" t="s">
        <v>317</v>
      </c>
      <c r="K283" s="15" t="s">
        <v>13</v>
      </c>
      <c r="L283" s="15">
        <v>50</v>
      </c>
      <c r="M283" s="13"/>
      <c r="N283" t="str">
        <f t="shared" si="10"/>
        <v>CoreDomain(ST)-DivisionOU(CSOD)OU ID*</v>
      </c>
      <c r="O283" t="str">
        <f t="shared" si="9"/>
        <v/>
      </c>
      <c r="P283" t="str">
        <f>VLOOKUP(N283,'[1]Sheet1 (2)'!$L:$M,2,0)</f>
        <v/>
      </c>
    </row>
    <row r="284" spans="1:16" hidden="1" x14ac:dyDescent="0.2">
      <c r="A284" s="13" t="s">
        <v>302</v>
      </c>
      <c r="B284" s="13" t="s">
        <v>316</v>
      </c>
      <c r="C284" s="13" t="s">
        <v>315</v>
      </c>
      <c r="D284" s="15" t="s">
        <v>306</v>
      </c>
      <c r="E284" s="15" t="s">
        <v>10</v>
      </c>
      <c r="F284" s="15" t="s">
        <v>11</v>
      </c>
      <c r="G284" s="15">
        <v>1000</v>
      </c>
      <c r="H284" s="15"/>
      <c r="I284" s="15"/>
      <c r="J284" s="15" t="s">
        <v>318</v>
      </c>
      <c r="K284" s="15" t="s">
        <v>13</v>
      </c>
      <c r="L284" s="15">
        <v>255</v>
      </c>
      <c r="M284" s="13"/>
      <c r="N284" t="str">
        <f t="shared" si="10"/>
        <v>CoreDomain(ST)-DivisionOU(CSOD)OU Name*</v>
      </c>
      <c r="O284" t="str">
        <f t="shared" si="9"/>
        <v/>
      </c>
      <c r="P284" t="str">
        <f>VLOOKUP(N284,'[1]Sheet1 (2)'!$L:$M,2,0)</f>
        <v/>
      </c>
    </row>
    <row r="285" spans="1:16" ht="48" hidden="1" x14ac:dyDescent="0.2">
      <c r="A285" s="13" t="s">
        <v>302</v>
      </c>
      <c r="B285" s="13" t="s">
        <v>316</v>
      </c>
      <c r="C285" s="13" t="s">
        <v>315</v>
      </c>
      <c r="D285" s="15" t="s">
        <v>16</v>
      </c>
      <c r="E285" s="15" t="s">
        <v>17</v>
      </c>
      <c r="F285" s="15" t="s">
        <v>18</v>
      </c>
      <c r="G285" s="15"/>
      <c r="H285" s="15">
        <v>1</v>
      </c>
      <c r="I285" s="17" t="s">
        <v>19</v>
      </c>
      <c r="J285" s="15"/>
      <c r="K285" s="15"/>
      <c r="L285" s="15"/>
      <c r="M285" s="13"/>
      <c r="N285" t="str">
        <f t="shared" si="10"/>
        <v>CoreDomain(ST)-DivisionOU(CSOD)Active</v>
      </c>
      <c r="O285">
        <f t="shared" si="9"/>
        <v>1</v>
      </c>
      <c r="P285">
        <f>VLOOKUP(N285,'[1]Sheet1 (2)'!$L:$M,2,0)</f>
        <v>1</v>
      </c>
    </row>
    <row r="286" spans="1:16" ht="48" hidden="1" x14ac:dyDescent="0.2">
      <c r="A286" s="13" t="s">
        <v>302</v>
      </c>
      <c r="B286" s="13" t="s">
        <v>316</v>
      </c>
      <c r="C286" s="13" t="s">
        <v>315</v>
      </c>
      <c r="D286" s="15" t="s">
        <v>310</v>
      </c>
      <c r="E286" s="15" t="s">
        <v>17</v>
      </c>
      <c r="F286" s="15" t="s">
        <v>18</v>
      </c>
      <c r="G286" s="15"/>
      <c r="H286" s="15">
        <v>0</v>
      </c>
      <c r="I286" s="17" t="s">
        <v>19</v>
      </c>
      <c r="J286" s="15"/>
      <c r="K286" s="15"/>
      <c r="L286" s="15"/>
      <c r="M286" s="13"/>
      <c r="N286" t="str">
        <f t="shared" si="10"/>
        <v>CoreDomain(ST)-DivisionOU(CSOD)Allow Reconciliation</v>
      </c>
      <c r="O286">
        <f t="shared" si="9"/>
        <v>0</v>
      </c>
      <c r="P286" t="e">
        <f>VLOOKUP(N286,'[1]Sheet1 (2)'!$L:$M,2,0)</f>
        <v>#N/A</v>
      </c>
    </row>
    <row r="287" spans="1:16" hidden="1" x14ac:dyDescent="0.2">
      <c r="A287" s="13" t="s">
        <v>302</v>
      </c>
      <c r="B287" s="13" t="s">
        <v>316</v>
      </c>
      <c r="C287" s="13" t="s">
        <v>315</v>
      </c>
      <c r="D287" s="15" t="s">
        <v>29</v>
      </c>
      <c r="E287" s="15" t="s">
        <v>17</v>
      </c>
      <c r="F287" s="15" t="s">
        <v>11</v>
      </c>
      <c r="G287" s="15">
        <v>100</v>
      </c>
      <c r="H287" s="15"/>
      <c r="I287" s="15"/>
      <c r="J287" s="15" t="s">
        <v>319</v>
      </c>
      <c r="K287" s="15" t="s">
        <v>13</v>
      </c>
      <c r="L287" s="15">
        <v>50</v>
      </c>
      <c r="M287" s="13"/>
      <c r="N287" t="str">
        <f t="shared" si="10"/>
        <v>CoreDomain(ST)-DivisionOU(CSOD)Parent ID</v>
      </c>
      <c r="O287" t="str">
        <f t="shared" si="9"/>
        <v/>
      </c>
      <c r="P287" t="str">
        <f>VLOOKUP(N287,'[1]Sheet1 (2)'!$L:$M,2,0)</f>
        <v/>
      </c>
    </row>
    <row r="288" spans="1:16" hidden="1" x14ac:dyDescent="0.2">
      <c r="A288" s="13" t="s">
        <v>302</v>
      </c>
      <c r="B288" s="13" t="s">
        <v>316</v>
      </c>
      <c r="C288" s="13" t="s">
        <v>315</v>
      </c>
      <c r="D288" s="15" t="s">
        <v>42</v>
      </c>
      <c r="E288" s="15" t="s">
        <v>17</v>
      </c>
      <c r="F288" s="15" t="s">
        <v>11</v>
      </c>
      <c r="G288" s="15">
        <v>100</v>
      </c>
      <c r="H288" s="15"/>
      <c r="I288" s="15"/>
      <c r="J288" s="15" t="s">
        <v>320</v>
      </c>
      <c r="K288" s="15" t="s">
        <v>13</v>
      </c>
      <c r="L288" s="15">
        <v>50</v>
      </c>
      <c r="M288" s="13"/>
      <c r="N288" t="str">
        <f t="shared" si="10"/>
        <v>CoreDomain(ST)-DivisionOU(CSOD)Owner ID</v>
      </c>
      <c r="O288" t="str">
        <f t="shared" si="9"/>
        <v/>
      </c>
      <c r="P288" t="str">
        <f>VLOOKUP(N288,'[1]Sheet1 (2)'!$L:$M,2,0)</f>
        <v/>
      </c>
    </row>
    <row r="289" spans="1:16" hidden="1" x14ac:dyDescent="0.2">
      <c r="A289" s="13" t="s">
        <v>302</v>
      </c>
      <c r="B289" s="13" t="s">
        <v>316</v>
      </c>
      <c r="C289" s="13" t="s">
        <v>315</v>
      </c>
      <c r="D289" s="15" t="s">
        <v>65</v>
      </c>
      <c r="E289" s="15" t="s">
        <v>17</v>
      </c>
      <c r="F289" s="15" t="s">
        <v>11</v>
      </c>
      <c r="G289" s="15">
        <v>4000</v>
      </c>
      <c r="H289" s="15"/>
      <c r="I289" s="15"/>
      <c r="J289" s="15" t="s">
        <v>321</v>
      </c>
      <c r="K289" s="15" t="s">
        <v>312</v>
      </c>
      <c r="L289" s="15" t="s">
        <v>313</v>
      </c>
      <c r="M289" s="13"/>
      <c r="N289" t="str">
        <f t="shared" si="10"/>
        <v>CoreDomain(ST)-DivisionOU(CSOD)Description</v>
      </c>
      <c r="O289" t="str">
        <f t="shared" si="9"/>
        <v/>
      </c>
      <c r="P289" t="str">
        <f>VLOOKUP(N289,'[1]Sheet1 (2)'!$L:$M,2,0)</f>
        <v/>
      </c>
    </row>
    <row r="290" spans="1:16" hidden="1" x14ac:dyDescent="0.2">
      <c r="A290" s="13" t="s">
        <v>302</v>
      </c>
      <c r="B290" s="13" t="s">
        <v>372</v>
      </c>
      <c r="C290" s="13" t="s">
        <v>322</v>
      </c>
      <c r="D290" s="15" t="s">
        <v>323</v>
      </c>
      <c r="E290" s="15" t="s">
        <v>17</v>
      </c>
      <c r="F290" s="15" t="s">
        <v>324</v>
      </c>
      <c r="G290" s="15"/>
      <c r="H290" s="15"/>
      <c r="I290" s="15"/>
      <c r="J290" s="15" t="s">
        <v>325</v>
      </c>
      <c r="K290" s="15" t="s">
        <v>324</v>
      </c>
      <c r="L290" s="15"/>
      <c r="M290" s="15"/>
      <c r="N290" t="str">
        <f t="shared" si="10"/>
        <v>CoreEmployee(ST)-Employee-CHR(CSOD)Effective Date</v>
      </c>
      <c r="O290" t="str">
        <f t="shared" si="9"/>
        <v/>
      </c>
      <c r="P290" t="str">
        <f>VLOOKUP(N290,'[1]Sheet1 (2)'!$L:$M,2,0)</f>
        <v/>
      </c>
    </row>
    <row r="291" spans="1:16" hidden="1" x14ac:dyDescent="0.2">
      <c r="A291" s="13" t="s">
        <v>302</v>
      </c>
      <c r="B291" s="13" t="s">
        <v>372</v>
      </c>
      <c r="C291" s="13" t="s">
        <v>322</v>
      </c>
      <c r="D291" s="15" t="s">
        <v>326</v>
      </c>
      <c r="E291" s="15" t="s">
        <v>17</v>
      </c>
      <c r="F291" s="15" t="s">
        <v>11</v>
      </c>
      <c r="G291" s="15"/>
      <c r="H291" s="15"/>
      <c r="I291" s="15"/>
      <c r="J291" s="15"/>
      <c r="K291" s="15"/>
      <c r="L291" s="15"/>
      <c r="M291" s="15"/>
      <c r="N291" t="str">
        <f t="shared" si="10"/>
        <v>CoreEmployee(ST)-Employee-CHR(CSOD)Reason for Change (accepted on modification)</v>
      </c>
      <c r="O291" t="str">
        <f t="shared" si="9"/>
        <v/>
      </c>
      <c r="P291" t="str">
        <f>VLOOKUP(N291,'[1]Sheet1 (2)'!$L:$M,2,0)</f>
        <v/>
      </c>
    </row>
    <row r="292" spans="1:16" hidden="1" x14ac:dyDescent="0.2">
      <c r="A292" s="13" t="s">
        <v>302</v>
      </c>
      <c r="B292" s="13" t="s">
        <v>372</v>
      </c>
      <c r="C292" s="13" t="s">
        <v>322</v>
      </c>
      <c r="D292" s="15" t="s">
        <v>327</v>
      </c>
      <c r="E292" s="15" t="s">
        <v>17</v>
      </c>
      <c r="F292" s="15" t="s">
        <v>328</v>
      </c>
      <c r="G292" s="15"/>
      <c r="H292" s="15"/>
      <c r="I292" s="17"/>
      <c r="J292" s="15" t="s">
        <v>329</v>
      </c>
      <c r="K292" s="15"/>
      <c r="L292" s="15"/>
      <c r="M292" s="15"/>
      <c r="N292" t="str">
        <f t="shared" si="10"/>
        <v>CoreEmployee(ST)-Employee-CHR(CSOD)GUID</v>
      </c>
      <c r="O292" t="str">
        <f t="shared" si="9"/>
        <v/>
      </c>
      <c r="P292" t="str">
        <f>VLOOKUP(N292,'[1]Sheet1 (2)'!$L:$M,2,0)</f>
        <v/>
      </c>
    </row>
    <row r="293" spans="1:16" hidden="1" x14ac:dyDescent="0.2">
      <c r="A293" s="13" t="s">
        <v>302</v>
      </c>
      <c r="B293" s="13" t="s">
        <v>372</v>
      </c>
      <c r="C293" s="13" t="s">
        <v>322</v>
      </c>
      <c r="D293" s="15" t="s">
        <v>330</v>
      </c>
      <c r="E293" s="15" t="s">
        <v>10</v>
      </c>
      <c r="F293" s="15" t="s">
        <v>11</v>
      </c>
      <c r="G293" s="15">
        <v>100</v>
      </c>
      <c r="H293" s="15"/>
      <c r="I293" s="17"/>
      <c r="J293" s="15" t="s">
        <v>331</v>
      </c>
      <c r="K293" s="15" t="s">
        <v>312</v>
      </c>
      <c r="L293" s="15">
        <v>50</v>
      </c>
      <c r="M293" s="15"/>
      <c r="N293" t="str">
        <f t="shared" si="10"/>
        <v>CoreEmployee(ST)-Employee-CHR(CSOD)User ID*</v>
      </c>
      <c r="O293" t="str">
        <f t="shared" si="9"/>
        <v/>
      </c>
      <c r="P293" t="str">
        <f>VLOOKUP(N293,'[1]Sheet1 (2)'!$L:$M,2,0)</f>
        <v/>
      </c>
    </row>
    <row r="294" spans="1:16" hidden="1" x14ac:dyDescent="0.2">
      <c r="A294" s="13" t="s">
        <v>302</v>
      </c>
      <c r="B294" s="13" t="s">
        <v>372</v>
      </c>
      <c r="C294" s="13" t="s">
        <v>322</v>
      </c>
      <c r="D294" s="15" t="s">
        <v>332</v>
      </c>
      <c r="E294" s="15" t="s">
        <v>17</v>
      </c>
      <c r="F294" s="15" t="s">
        <v>11</v>
      </c>
      <c r="G294" s="15">
        <v>100</v>
      </c>
      <c r="H294" s="15"/>
      <c r="I294" s="15"/>
      <c r="J294" s="15"/>
      <c r="K294" s="15"/>
      <c r="L294" s="15"/>
      <c r="M294" s="15"/>
      <c r="N294" t="str">
        <f t="shared" si="10"/>
        <v>CoreEmployee(ST)-Employee-CHR(CSOD)Local System ID</v>
      </c>
      <c r="O294" t="str">
        <f t="shared" si="9"/>
        <v/>
      </c>
      <c r="P294" t="str">
        <f>VLOOKUP(N294,'[1]Sheet1 (2)'!$L:$M,2,0)</f>
        <v/>
      </c>
    </row>
    <row r="295" spans="1:16" hidden="1" x14ac:dyDescent="0.2">
      <c r="A295" s="13" t="s">
        <v>302</v>
      </c>
      <c r="B295" s="13" t="s">
        <v>372</v>
      </c>
      <c r="C295" s="13" t="s">
        <v>322</v>
      </c>
      <c r="D295" s="15" t="s">
        <v>333</v>
      </c>
      <c r="E295" s="15" t="s">
        <v>17</v>
      </c>
      <c r="F295" s="15" t="s">
        <v>11</v>
      </c>
      <c r="G295" s="15">
        <v>10</v>
      </c>
      <c r="H295" s="15"/>
      <c r="I295" s="15"/>
      <c r="J295" s="15" t="s">
        <v>334</v>
      </c>
      <c r="K295" s="15" t="s">
        <v>312</v>
      </c>
      <c r="L295" s="15">
        <v>50</v>
      </c>
      <c r="M295" s="15"/>
      <c r="N295" t="str">
        <f t="shared" si="10"/>
        <v>CoreEmployee(ST)-Employee-CHR(CSOD)Prefix</v>
      </c>
      <c r="O295" t="str">
        <f t="shared" si="9"/>
        <v/>
      </c>
      <c r="P295" t="str">
        <f>VLOOKUP(N295,'[1]Sheet1 (2)'!$L:$M,2,0)</f>
        <v/>
      </c>
    </row>
    <row r="296" spans="1:16" hidden="1" x14ac:dyDescent="0.2">
      <c r="A296" s="13" t="s">
        <v>302</v>
      </c>
      <c r="B296" s="13" t="s">
        <v>372</v>
      </c>
      <c r="C296" s="13" t="s">
        <v>322</v>
      </c>
      <c r="D296" s="15" t="s">
        <v>335</v>
      </c>
      <c r="E296" s="15" t="s">
        <v>10</v>
      </c>
      <c r="F296" s="15" t="s">
        <v>11</v>
      </c>
      <c r="G296" s="15">
        <v>200</v>
      </c>
      <c r="H296" s="15"/>
      <c r="I296" s="15"/>
      <c r="J296" s="15" t="s">
        <v>336</v>
      </c>
      <c r="K296" s="15" t="s">
        <v>312</v>
      </c>
      <c r="L296" s="15">
        <v>50</v>
      </c>
      <c r="M296" s="15"/>
      <c r="N296" t="str">
        <f t="shared" si="10"/>
        <v>CoreEmployee(ST)-Employee-CHR(CSOD)First Name*</v>
      </c>
      <c r="O296" t="str">
        <f t="shared" si="9"/>
        <v/>
      </c>
      <c r="P296" t="str">
        <f>VLOOKUP(N296,'[1]Sheet1 (2)'!$L:$M,2,0)</f>
        <v/>
      </c>
    </row>
    <row r="297" spans="1:16" hidden="1" x14ac:dyDescent="0.2">
      <c r="A297" s="13" t="s">
        <v>302</v>
      </c>
      <c r="B297" s="13" t="s">
        <v>372</v>
      </c>
      <c r="C297" s="13" t="s">
        <v>322</v>
      </c>
      <c r="D297" s="15" t="s">
        <v>337</v>
      </c>
      <c r="E297" s="15" t="s">
        <v>17</v>
      </c>
      <c r="F297" s="15" t="s">
        <v>11</v>
      </c>
      <c r="G297" s="15">
        <v>200</v>
      </c>
      <c r="H297" s="15"/>
      <c r="I297" s="17"/>
      <c r="J297" s="15" t="s">
        <v>338</v>
      </c>
      <c r="K297" s="15" t="s">
        <v>312</v>
      </c>
      <c r="L297" s="15">
        <v>50</v>
      </c>
      <c r="M297" s="15"/>
      <c r="N297" t="str">
        <f t="shared" si="10"/>
        <v>CoreEmployee(ST)-Employee-CHR(CSOD)Middle Name</v>
      </c>
      <c r="O297" t="str">
        <f t="shared" si="9"/>
        <v/>
      </c>
      <c r="P297" t="str">
        <f>VLOOKUP(N297,'[1]Sheet1 (2)'!$L:$M,2,0)</f>
        <v/>
      </c>
    </row>
    <row r="298" spans="1:16" hidden="1" x14ac:dyDescent="0.2">
      <c r="A298" s="13" t="s">
        <v>302</v>
      </c>
      <c r="B298" s="13" t="s">
        <v>372</v>
      </c>
      <c r="C298" s="13" t="s">
        <v>322</v>
      </c>
      <c r="D298" s="15" t="s">
        <v>339</v>
      </c>
      <c r="E298" s="15" t="s">
        <v>10</v>
      </c>
      <c r="F298" s="15" t="s">
        <v>11</v>
      </c>
      <c r="G298" s="15">
        <v>200</v>
      </c>
      <c r="H298" s="15"/>
      <c r="I298" s="15"/>
      <c r="J298" s="15" t="s">
        <v>340</v>
      </c>
      <c r="K298" s="15" t="s">
        <v>312</v>
      </c>
      <c r="L298" s="15">
        <v>50</v>
      </c>
      <c r="M298" s="15"/>
      <c r="N298" t="str">
        <f t="shared" si="10"/>
        <v>CoreEmployee(ST)-Employee-CHR(CSOD)Last Name*</v>
      </c>
      <c r="O298" t="str">
        <f t="shared" si="9"/>
        <v/>
      </c>
      <c r="P298" t="str">
        <f>VLOOKUP(N298,'[1]Sheet1 (2)'!$L:$M,2,0)</f>
        <v/>
      </c>
    </row>
    <row r="299" spans="1:16" hidden="1" x14ac:dyDescent="0.2">
      <c r="A299" s="13" t="s">
        <v>302</v>
      </c>
      <c r="B299" s="13" t="s">
        <v>372</v>
      </c>
      <c r="C299" s="13" t="s">
        <v>322</v>
      </c>
      <c r="D299" s="15" t="s">
        <v>341</v>
      </c>
      <c r="E299" s="15" t="s">
        <v>17</v>
      </c>
      <c r="F299" s="15" t="s">
        <v>11</v>
      </c>
      <c r="G299" s="15">
        <v>10</v>
      </c>
      <c r="H299" s="15"/>
      <c r="I299" s="15"/>
      <c r="J299" s="15" t="s">
        <v>342</v>
      </c>
      <c r="K299" s="15" t="s">
        <v>312</v>
      </c>
      <c r="L299" s="15">
        <v>50</v>
      </c>
      <c r="M299" s="15"/>
      <c r="N299" t="str">
        <f t="shared" si="10"/>
        <v>CoreEmployee(ST)-Employee-CHR(CSOD)Suffix</v>
      </c>
      <c r="O299" t="str">
        <f t="shared" si="9"/>
        <v/>
      </c>
      <c r="P299" t="str">
        <f>VLOOKUP(N299,'[1]Sheet1 (2)'!$L:$M,2,0)</f>
        <v/>
      </c>
    </row>
    <row r="300" spans="1:16" hidden="1" x14ac:dyDescent="0.2">
      <c r="A300" s="13" t="s">
        <v>302</v>
      </c>
      <c r="B300" s="13" t="s">
        <v>372</v>
      </c>
      <c r="C300" s="13" t="s">
        <v>322</v>
      </c>
      <c r="D300" s="15" t="s">
        <v>343</v>
      </c>
      <c r="E300" s="15" t="s">
        <v>10</v>
      </c>
      <c r="F300" s="15" t="s">
        <v>11</v>
      </c>
      <c r="G300" s="15">
        <v>128</v>
      </c>
      <c r="H300" s="15"/>
      <c r="I300" s="15"/>
      <c r="J300" s="15" t="s">
        <v>344</v>
      </c>
      <c r="K300" s="15" t="s">
        <v>312</v>
      </c>
      <c r="L300" s="15">
        <v>85</v>
      </c>
      <c r="M300" s="15"/>
      <c r="N300" t="str">
        <f t="shared" si="10"/>
        <v>CoreEmployee(ST)-Employee-CHR(CSOD)Username</v>
      </c>
      <c r="O300" t="str">
        <f t="shared" si="9"/>
        <v/>
      </c>
      <c r="P300" t="str">
        <f>VLOOKUP(N300,'[1]Sheet1 (2)'!$L:$M,2,0)</f>
        <v/>
      </c>
    </row>
    <row r="301" spans="1:16" hidden="1" x14ac:dyDescent="0.2">
      <c r="A301" s="13" t="s">
        <v>302</v>
      </c>
      <c r="B301" s="13" t="s">
        <v>372</v>
      </c>
      <c r="C301" s="13" t="s">
        <v>322</v>
      </c>
      <c r="D301" s="15" t="s">
        <v>345</v>
      </c>
      <c r="E301" s="15" t="s">
        <v>17</v>
      </c>
      <c r="F301" s="15" t="s">
        <v>11</v>
      </c>
      <c r="G301" s="15">
        <v>100</v>
      </c>
      <c r="H301" s="15"/>
      <c r="I301" s="15"/>
      <c r="J301" s="15"/>
      <c r="K301" s="15"/>
      <c r="L301" s="15"/>
      <c r="M301" s="15"/>
      <c r="N301" t="str">
        <f t="shared" si="10"/>
        <v>CoreEmployee(ST)-Employee-CHR(CSOD)Approver</v>
      </c>
      <c r="O301" t="str">
        <f t="shared" si="9"/>
        <v/>
      </c>
      <c r="P301" t="str">
        <f>VLOOKUP(N301,'[1]Sheet1 (2)'!$L:$M,2,0)</f>
        <v/>
      </c>
    </row>
    <row r="302" spans="1:16" hidden="1" x14ac:dyDescent="0.2">
      <c r="A302" s="13" t="s">
        <v>302</v>
      </c>
      <c r="B302" s="13" t="s">
        <v>372</v>
      </c>
      <c r="C302" s="13" t="s">
        <v>322</v>
      </c>
      <c r="D302" s="15" t="s">
        <v>346</v>
      </c>
      <c r="E302" s="15" t="s">
        <v>17</v>
      </c>
      <c r="F302" s="15" t="s">
        <v>11</v>
      </c>
      <c r="G302" s="15">
        <v>100</v>
      </c>
      <c r="H302" s="15"/>
      <c r="I302" s="15"/>
      <c r="J302" s="15" t="s">
        <v>347</v>
      </c>
      <c r="K302" s="15" t="s">
        <v>312</v>
      </c>
      <c r="L302" s="15">
        <v>50</v>
      </c>
      <c r="M302" s="15"/>
      <c r="N302" t="str">
        <f t="shared" si="10"/>
        <v>CoreEmployee(ST)-Employee-CHR(CSOD)Manager</v>
      </c>
      <c r="O302" t="str">
        <f t="shared" si="9"/>
        <v/>
      </c>
      <c r="P302" t="str">
        <f>VLOOKUP(N302,'[1]Sheet1 (2)'!$L:$M,2,0)</f>
        <v/>
      </c>
    </row>
    <row r="303" spans="1:16" ht="48" hidden="1" x14ac:dyDescent="0.2">
      <c r="A303" s="13" t="s">
        <v>302</v>
      </c>
      <c r="B303" s="13" t="s">
        <v>372</v>
      </c>
      <c r="C303" s="13" t="s">
        <v>322</v>
      </c>
      <c r="D303" s="15" t="s">
        <v>348</v>
      </c>
      <c r="E303" s="15" t="s">
        <v>17</v>
      </c>
      <c r="F303" s="15" t="s">
        <v>349</v>
      </c>
      <c r="G303" s="15"/>
      <c r="H303" s="15">
        <v>0</v>
      </c>
      <c r="I303" s="17" t="s">
        <v>350</v>
      </c>
      <c r="J303" s="15"/>
      <c r="K303" s="15"/>
      <c r="L303" s="15"/>
      <c r="M303" s="15"/>
      <c r="N303" t="str">
        <f t="shared" si="10"/>
        <v>CoreEmployee(ST)-Employee-CHR(CSOD)Absent</v>
      </c>
      <c r="O303">
        <f t="shared" si="9"/>
        <v>0</v>
      </c>
      <c r="P303">
        <f>VLOOKUP(N303,'[1]Sheet1 (2)'!$L:$M,2,0)</f>
        <v>0</v>
      </c>
    </row>
    <row r="304" spans="1:16" ht="48" hidden="1" x14ac:dyDescent="0.2">
      <c r="A304" s="13" t="s">
        <v>302</v>
      </c>
      <c r="B304" s="13" t="s">
        <v>372</v>
      </c>
      <c r="C304" s="13" t="s">
        <v>322</v>
      </c>
      <c r="D304" s="15" t="s">
        <v>310</v>
      </c>
      <c r="E304" s="15" t="s">
        <v>17</v>
      </c>
      <c r="F304" s="15" t="s">
        <v>18</v>
      </c>
      <c r="G304" s="15"/>
      <c r="H304" s="15">
        <v>0</v>
      </c>
      <c r="I304" s="17" t="s">
        <v>350</v>
      </c>
      <c r="J304" s="15"/>
      <c r="K304" s="15"/>
      <c r="L304" s="15"/>
      <c r="M304" s="15"/>
      <c r="N304" t="str">
        <f t="shared" si="10"/>
        <v>CoreEmployee(ST)-Employee-CHR(CSOD)Allow Reconciliation</v>
      </c>
      <c r="O304">
        <f t="shared" si="9"/>
        <v>0</v>
      </c>
      <c r="P304">
        <f>VLOOKUP(N304,'[1]Sheet1 (2)'!$L:$M,2,0)</f>
        <v>0</v>
      </c>
    </row>
    <row r="305" spans="1:16" hidden="1" x14ac:dyDescent="0.2">
      <c r="A305" s="13" t="s">
        <v>302</v>
      </c>
      <c r="B305" s="13" t="s">
        <v>372</v>
      </c>
      <c r="C305" s="13" t="s">
        <v>322</v>
      </c>
      <c r="D305" s="15" t="s">
        <v>351</v>
      </c>
      <c r="E305" s="15" t="s">
        <v>17</v>
      </c>
      <c r="F305" s="15" t="s">
        <v>11</v>
      </c>
      <c r="G305" s="15">
        <v>128</v>
      </c>
      <c r="H305" s="15"/>
      <c r="I305" s="15"/>
      <c r="J305" s="15" t="s">
        <v>351</v>
      </c>
      <c r="K305" s="15" t="s">
        <v>13</v>
      </c>
      <c r="L305" s="15">
        <v>256</v>
      </c>
      <c r="M305" s="15"/>
      <c r="N305" t="str">
        <f t="shared" si="10"/>
        <v>CoreEmployee(ST)-Employee-CHR(CSOD)Email</v>
      </c>
      <c r="O305" t="str">
        <f t="shared" si="9"/>
        <v/>
      </c>
      <c r="P305" t="str">
        <f>VLOOKUP(N305,'[1]Sheet1 (2)'!$L:$M,2,0)</f>
        <v/>
      </c>
    </row>
    <row r="306" spans="1:16" hidden="1" x14ac:dyDescent="0.2">
      <c r="A306" s="13" t="s">
        <v>302</v>
      </c>
      <c r="B306" s="13" t="s">
        <v>372</v>
      </c>
      <c r="C306" s="13" t="s">
        <v>322</v>
      </c>
      <c r="D306" s="15" t="s">
        <v>195</v>
      </c>
      <c r="E306" s="15" t="s">
        <v>10</v>
      </c>
      <c r="F306" s="15" t="s">
        <v>25</v>
      </c>
      <c r="G306" s="15"/>
      <c r="H306" s="15"/>
      <c r="I306" s="15"/>
      <c r="J306" s="15"/>
      <c r="K306" s="15"/>
      <c r="L306" s="15"/>
      <c r="M306" s="15"/>
      <c r="N306" t="str">
        <f t="shared" si="10"/>
        <v>CoreEmployee(ST)-Employee-CHR(CSOD)Required Training Approvals</v>
      </c>
      <c r="O306" t="str">
        <f t="shared" si="9"/>
        <v/>
      </c>
      <c r="P306" t="str">
        <f>VLOOKUP(N306,'[1]Sheet1 (2)'!$L:$M,2,0)</f>
        <v/>
      </c>
    </row>
    <row r="307" spans="1:16" hidden="1" x14ac:dyDescent="0.2">
      <c r="A307" s="13" t="s">
        <v>302</v>
      </c>
      <c r="B307" s="13" t="s">
        <v>372</v>
      </c>
      <c r="C307" s="13" t="s">
        <v>322</v>
      </c>
      <c r="D307" s="15" t="s">
        <v>352</v>
      </c>
      <c r="E307" s="15" t="s">
        <v>17</v>
      </c>
      <c r="F307" s="15" t="s">
        <v>11</v>
      </c>
      <c r="G307" s="15">
        <v>100</v>
      </c>
      <c r="H307" s="15"/>
      <c r="I307" s="15"/>
      <c r="J307" s="15" t="s">
        <v>353</v>
      </c>
      <c r="K307" s="15" t="s">
        <v>312</v>
      </c>
      <c r="L307" s="15">
        <v>50</v>
      </c>
      <c r="M307" s="15"/>
      <c r="N307" t="str">
        <f t="shared" si="10"/>
        <v>CoreEmployee(ST)-Employee-CHR(CSOD)Gender</v>
      </c>
      <c r="O307" t="str">
        <f t="shared" si="9"/>
        <v/>
      </c>
      <c r="P307" t="str">
        <f>VLOOKUP(N307,'[1]Sheet1 (2)'!$L:$M,2,0)</f>
        <v/>
      </c>
    </row>
    <row r="308" spans="1:16" hidden="1" x14ac:dyDescent="0.2">
      <c r="A308" s="13" t="s">
        <v>302</v>
      </c>
      <c r="B308" s="13" t="s">
        <v>372</v>
      </c>
      <c r="C308" s="13" t="s">
        <v>322</v>
      </c>
      <c r="D308" s="15" t="s">
        <v>354</v>
      </c>
      <c r="E308" s="15" t="s">
        <v>17</v>
      </c>
      <c r="F308" s="15" t="s">
        <v>11</v>
      </c>
      <c r="G308" s="15">
        <v>100</v>
      </c>
      <c r="H308" s="15"/>
      <c r="I308" s="22"/>
      <c r="J308" s="15" t="s">
        <v>355</v>
      </c>
      <c r="K308" s="15" t="s">
        <v>312</v>
      </c>
      <c r="L308" s="15">
        <v>50</v>
      </c>
      <c r="M308" s="22"/>
      <c r="N308" t="str">
        <f t="shared" si="10"/>
        <v>CoreEmployee(ST)-Employee-CHR(CSOD)Ethnicity</v>
      </c>
      <c r="O308" t="str">
        <f t="shared" si="9"/>
        <v/>
      </c>
      <c r="P308" t="str">
        <f>VLOOKUP(N308,'[1]Sheet1 (2)'!$L:$M,2,0)</f>
        <v/>
      </c>
    </row>
    <row r="309" spans="1:16" hidden="1" x14ac:dyDescent="0.2">
      <c r="A309" s="13" t="s">
        <v>302</v>
      </c>
      <c r="B309" s="13" t="s">
        <v>372</v>
      </c>
      <c r="C309" s="13" t="s">
        <v>322</v>
      </c>
      <c r="D309" s="15" t="s">
        <v>356</v>
      </c>
      <c r="E309" s="15" t="s">
        <v>17</v>
      </c>
      <c r="F309" s="15" t="s">
        <v>11</v>
      </c>
      <c r="G309" s="15">
        <v>110</v>
      </c>
      <c r="H309" s="15"/>
      <c r="I309" s="15"/>
      <c r="J309" s="15" t="s">
        <v>357</v>
      </c>
      <c r="K309" s="25" t="s">
        <v>13</v>
      </c>
      <c r="L309" s="15">
        <v>150</v>
      </c>
      <c r="M309" s="15"/>
      <c r="N309" t="str">
        <f t="shared" si="10"/>
        <v>CoreEmployee(ST)-Employee-CHR(CSOD)Address Line 1</v>
      </c>
      <c r="O309" t="str">
        <f t="shared" si="9"/>
        <v/>
      </c>
      <c r="P309" t="str">
        <f>VLOOKUP(N309,'[1]Sheet1 (2)'!$L:$M,2,0)</f>
        <v/>
      </c>
    </row>
    <row r="310" spans="1:16" hidden="1" x14ac:dyDescent="0.2">
      <c r="A310" s="13" t="s">
        <v>302</v>
      </c>
      <c r="B310" s="13" t="s">
        <v>372</v>
      </c>
      <c r="C310" s="13" t="s">
        <v>322</v>
      </c>
      <c r="D310" s="15" t="s">
        <v>358</v>
      </c>
      <c r="E310" s="15" t="s">
        <v>17</v>
      </c>
      <c r="F310" s="15" t="s">
        <v>11</v>
      </c>
      <c r="G310" s="15">
        <v>55</v>
      </c>
      <c r="H310" s="15"/>
      <c r="I310" s="15"/>
      <c r="J310" s="15" t="s">
        <v>359</v>
      </c>
      <c r="K310" s="25" t="s">
        <v>13</v>
      </c>
      <c r="L310" s="15">
        <v>150</v>
      </c>
      <c r="M310" s="15"/>
      <c r="N310" t="str">
        <f t="shared" si="10"/>
        <v>CoreEmployee(ST)-Employee-CHR(CSOD)Address Line 2</v>
      </c>
      <c r="O310" t="str">
        <f t="shared" si="9"/>
        <v/>
      </c>
      <c r="P310" t="str">
        <f>VLOOKUP(N310,'[1]Sheet1 (2)'!$L:$M,2,0)</f>
        <v/>
      </c>
    </row>
    <row r="311" spans="1:16" hidden="1" x14ac:dyDescent="0.2">
      <c r="A311" s="13" t="s">
        <v>302</v>
      </c>
      <c r="B311" s="13" t="s">
        <v>372</v>
      </c>
      <c r="C311" s="13" t="s">
        <v>322</v>
      </c>
      <c r="D311" s="15" t="s">
        <v>32</v>
      </c>
      <c r="E311" s="15" t="s">
        <v>17</v>
      </c>
      <c r="F311" s="15" t="s">
        <v>11</v>
      </c>
      <c r="G311" s="15">
        <v>35</v>
      </c>
      <c r="H311" s="15"/>
      <c r="I311" s="15"/>
      <c r="J311" s="15" t="s">
        <v>32</v>
      </c>
      <c r="K311" s="25" t="s">
        <v>13</v>
      </c>
      <c r="L311" s="15">
        <v>50</v>
      </c>
      <c r="M311" s="15"/>
      <c r="N311" t="str">
        <f t="shared" si="10"/>
        <v>CoreEmployee(ST)-Employee-CHR(CSOD)City</v>
      </c>
      <c r="O311" t="str">
        <f t="shared" si="9"/>
        <v/>
      </c>
      <c r="P311" t="str">
        <f>VLOOKUP(N311,'[1]Sheet1 (2)'!$L:$M,2,0)</f>
        <v/>
      </c>
    </row>
    <row r="312" spans="1:16" hidden="1" x14ac:dyDescent="0.2">
      <c r="A312" s="13" t="s">
        <v>302</v>
      </c>
      <c r="B312" s="13" t="s">
        <v>372</v>
      </c>
      <c r="C312" s="13" t="s">
        <v>322</v>
      </c>
      <c r="D312" s="15" t="s">
        <v>33</v>
      </c>
      <c r="E312" s="15" t="s">
        <v>17</v>
      </c>
      <c r="F312" s="15" t="s">
        <v>11</v>
      </c>
      <c r="G312" s="15">
        <v>30</v>
      </c>
      <c r="H312" s="15"/>
      <c r="I312" s="15"/>
      <c r="J312" s="15" t="s">
        <v>360</v>
      </c>
      <c r="K312" s="25" t="s">
        <v>13</v>
      </c>
      <c r="L312" s="15">
        <v>35</v>
      </c>
      <c r="M312" s="15"/>
      <c r="N312" t="str">
        <f t="shared" si="10"/>
        <v>CoreEmployee(ST)-Employee-CHR(CSOD)State</v>
      </c>
      <c r="O312" t="str">
        <f t="shared" si="9"/>
        <v/>
      </c>
      <c r="P312" t="str">
        <f>VLOOKUP(N312,'[1]Sheet1 (2)'!$L:$M,2,0)</f>
        <v/>
      </c>
    </row>
    <row r="313" spans="1:16" hidden="1" x14ac:dyDescent="0.2">
      <c r="A313" s="13" t="s">
        <v>302</v>
      </c>
      <c r="B313" s="13" t="s">
        <v>372</v>
      </c>
      <c r="C313" s="13" t="s">
        <v>322</v>
      </c>
      <c r="D313" s="15" t="s">
        <v>34</v>
      </c>
      <c r="E313" s="15" t="s">
        <v>17</v>
      </c>
      <c r="F313" s="15" t="s">
        <v>11</v>
      </c>
      <c r="G313" s="15">
        <v>20</v>
      </c>
      <c r="H313" s="15"/>
      <c r="I313" s="15"/>
      <c r="J313" s="15" t="s">
        <v>34</v>
      </c>
      <c r="K313" s="25" t="s">
        <v>13</v>
      </c>
      <c r="L313" s="15">
        <v>50</v>
      </c>
      <c r="M313" s="15"/>
      <c r="N313" t="str">
        <f t="shared" si="10"/>
        <v>CoreEmployee(ST)-Employee-CHR(CSOD)Zip</v>
      </c>
      <c r="O313" t="str">
        <f t="shared" si="9"/>
        <v/>
      </c>
      <c r="P313" t="str">
        <f>VLOOKUP(N313,'[1]Sheet1 (2)'!$L:$M,2,0)</f>
        <v/>
      </c>
    </row>
    <row r="314" spans="1:16" hidden="1" x14ac:dyDescent="0.2">
      <c r="A314" s="13" t="s">
        <v>302</v>
      </c>
      <c r="B314" s="13" t="s">
        <v>372</v>
      </c>
      <c r="C314" s="13" t="s">
        <v>322</v>
      </c>
      <c r="D314" s="15" t="s">
        <v>361</v>
      </c>
      <c r="E314" s="15" t="s">
        <v>17</v>
      </c>
      <c r="F314" s="15" t="s">
        <v>11</v>
      </c>
      <c r="G314" s="15">
        <v>20</v>
      </c>
      <c r="H314" s="15"/>
      <c r="I314" s="15"/>
      <c r="J314" s="15"/>
      <c r="K314" s="15"/>
      <c r="L314" s="15"/>
      <c r="M314" s="15"/>
      <c r="N314" t="str">
        <f t="shared" si="10"/>
        <v>CoreEmployee(ST)-Employee-CHR(CSOD)Mailstop</v>
      </c>
      <c r="O314" t="str">
        <f t="shared" si="9"/>
        <v/>
      </c>
      <c r="P314" t="str">
        <f>VLOOKUP(N314,'[1]Sheet1 (2)'!$L:$M,2,0)</f>
        <v/>
      </c>
    </row>
    <row r="315" spans="1:16" s="33" customFormat="1" ht="409.6" hidden="1" x14ac:dyDescent="0.2">
      <c r="A315" s="29" t="s">
        <v>302</v>
      </c>
      <c r="B315" s="29" t="s">
        <v>372</v>
      </c>
      <c r="C315" s="29" t="s">
        <v>322</v>
      </c>
      <c r="D315" s="30" t="s">
        <v>35</v>
      </c>
      <c r="E315" s="30" t="s">
        <v>17</v>
      </c>
      <c r="F315" s="30" t="s">
        <v>11</v>
      </c>
      <c r="G315" s="30">
        <v>2</v>
      </c>
      <c r="H315" s="31" t="s">
        <v>508</v>
      </c>
      <c r="I315" s="30"/>
      <c r="J315" s="30" t="s">
        <v>35</v>
      </c>
      <c r="K315" s="32" t="s">
        <v>13</v>
      </c>
      <c r="L315" s="30">
        <v>50</v>
      </c>
      <c r="M315" s="30"/>
      <c r="N315" s="33" t="str">
        <f t="shared" si="10"/>
        <v>CoreEmployee(ST)-Employee-CHR(CSOD)Country</v>
      </c>
      <c r="O315" s="33" t="str">
        <f t="shared" si="9"/>
        <v>IF Country == "Aruba" THEN ThreeLetterCode = "ABW"
ELSE IF Country == "Afghanistan" THEN ThreeLetterCode = "AFG"
ELSE IF Country == "Angola" THEN ThreeLetterCode = "AGO"
ELSE IF Country == "Anguilla" THEN ThreeLetterCode = "AIA"
ELSE IF Country == "Åland Islands" THEN ThreeLetterCode = "ALA"
ELSE IF Country == "Albania" THEN ThreeLetterCode = "ALB"
ELSE IF Country == "Andorra" THEN ThreeLetterCode = "AND"
ELSE IF Country == "Netherlands Antilles" THEN ThreeLetterCode = "ANT"
ELSE IF Country == "United Arab Emirates" THEN ThreeLetterCode = "ARE"
ELSE IF Country == "Argentina" THEN ThreeLetterCode = "ARG"
ELSE IF Country == "Armenia" THEN ThreeLetterCode = "ARM"
ELSE IF Country == "American Samoa" THEN ThreeLetterCode = "ASM"
ELSE IF Country == "Antarctica" THEN ThreeLetterCode = "ATA"
ELSE IF Country == "French Southern Territories" THEN ThreeLetterCode = "ATF"
ELSE IF Country == "Antigua and Barbuda" THEN ThreeLetterCode = "ATG"
ELSE IF Country == "Australia" THEN ThreeLetterCode = "AUS"
ELSE IF Country == "Austria" THEN ThreeLetterCode = "AUT"
ELSE IF Country == "Azerbaijan" THEN ThreeLetterCode = "AZE"
ELSE IF Country == "Burundi" THEN ThreeLetterCode = "BDI"
ELSE IF Country == "Belgium" THEN ThreeLetterCode = "BEL"
ELSE IF Country == "Benin" THEN ThreeLetterCode = "BEN"
ELSE IF Country == "Bonaire, Sint Eustatius and Saba" THEN ThreeLetterCode = "BES"
ELSE IF Country == "Burkina Faso" THEN ThreeLetterCode = "BFA"
ELSE IF Country == "Bangladesh" THEN ThreeLetterCode = "BGD"
ELSE IF Country == "Bulgaria" THEN ThreeLetterCode = "BGR"
ELSE IF Country == "Bahrain" THEN ThreeLetterCode = "BHR"
ELSE IF Country == "Bahamas" THEN ThreeLetterCode = "BHS"
ELSE IF Country == "Bosnia and Herzegovina" THEN ThreeLetterCode = "BIH"
ELSE IF Country == "Saint Barthélemy" THEN ThreeLetterCode = "BLM"
ELSE IF Country == "Belarus" THEN ThreeLetterCode = "BLR"
ELSE IF Country == "Belize" THEN ThreeLetterCode = "BLZ"
ELSE IF Country == "Bermuda" THEN ThreeLetterCode = "BMU"
ELSE IF Country == "Bolivia, Plurinational State of" THEN ThreeLetterCode = "BOL"
ELSE IF Country == "Brazil" THEN ThreeLetterCode = "BRA"
ELSE IF Country == "Barbados" THEN ThreeLetterCode = "BRB"
ELSE IF Country == "Brunei Darussalam" THEN ThreeLetterCode = "BRN"
ELSE IF Country == "Bhutan" THEN ThreeLetterCode = "BTN"
ELSE IF Country == "Bouvet Island" THEN ThreeLetterCode = "BVT"
ELSE IF Country == "Botswana" THEN ThreeLetterCode = "BWA"
ELSE IF Country == "Central African Republic" THEN ThreeLetterCode = "CAF"
ELSE IF Country == "Canada" THEN ThreeLetterCode = "CAN"
ELSE IF Country == "Cocos (Keeling) Islands" THEN ThreeLetterCode = "CCK"
ELSE IF Country == "Switzerland" THEN ThreeLetterCode = "CHE"
ELSE IF Country == "Chile" THEN ThreeLetterCode = "CHL"
ELSE IF Country == "China" THEN ThreeLetterCode = "CHN"
ELSE IF Country == "Côte d'Ivoire" THEN ThreeLetterCode = "CIV"
ELSE IF Country == "Cameroon" THEN ThreeLetterCode = "CMR"
ELSE IF Country == "Congo, the Democratic Republic of the" THEN ThreeLetterCode = "COD"
ELSE IF Country == "Congo" THEN ThreeLetterCode = "COG"
ELSE IF Country == "Cook Islands" THEN ThreeLetterCode = "COK"
ELSE IF Country == "Colombia" THEN ThreeLetterCode = "COL"
ELSE IF Country == "Comoros" THEN ThreeLetterCode = "COM"
ELSE IF Country == "Cape Verde" THEN ThreeLetterCode = "CPV"
ELSE IF Country == "Costa Rica" THEN ThreeLetterCode = "CRI"
ELSE IF Country == "Cuba" THEN ThreeLetterCode = "CUB"
ELSE IF Country == "Curaçao" THEN ThreeLetterCode = "CUW"
ELSE IF Country == "Christmas Island" THEN ThreeLetterCode = "CXR"
ELSE IF Country == "Cayman Islands" THEN ThreeLetterCode = "CYM"
ELSE IF Country == "Cyprus" THEN ThreeLetterCode = "CYP"
ELSE IF Country == "Czech Republic" THEN ThreeLetterCode = "CZE"
ELSE IF Country == "Germany" THEN ThreeLetterCode = "DEU"
ELSE IF Country == "Djibouti" THEN ThreeLetterCode = "DJI"
ELSE IF Country == "Dominica" THEN ThreeLetterCode = "DMA"
ELSE IF Country == "Denmark" THEN ThreeLetterCode = "DNK"
ELSE IF Country == "Dominican Republic" THEN ThreeLetterCode = "DOM"
ELSE IF Country == "Algeria" THEN ThreeLetterCode = "DZA"
ELSE IF Country == "Ecuador" THEN ThreeLetterCode = "ECU"
ELSE IF Country == "Egypt" THEN ThreeLetterCode = "EGY"
ELSE IF Country == "Eritrea" THEN ThreeLetterCode = "ERI"
ELSE IF Country == "Western Sahara" THEN ThreeLetterCode = "ESH"
ELSE IF Country == "Spain" THEN ThreeLetterCode = "ESP"
ELSE IF Country == "Estonia" THEN ThreeLetterCode = "EST"
ELSE IF Country == "Ethiopia" THEN ThreeLetterCode = "ETH"
ELSE IF Country == "Finland" THEN ThreeLetterCode = "FIN"
ELSE IF Country == "Fiji" THEN ThreeLetterCode = "FJI"
ELSE IF Country == "Falkland Islands (Malvinas)" THEN ThreeLetterCode = "FLK"
ELSE IF Country == "France" THEN ThreeLetterCode = "FRA"
ELSE IF Country == "Faroe Islands" THEN ThreeLetterCode = "FRO"
ELSE IF Country == "Micronesia, Federated States of" THEN ThreeLetterCode = "FSM"
ELSE IF Country == "Gabon" THEN ThreeLetterCode = "GAB"
ELSE IF Country == "United Kingdom" THEN ThreeLetterCode = "GBR"
ELSE IF Country == "Georgia" THEN ThreeLetterCode = "GEO"
ELSE IF Country == "Guernsey" THEN ThreeLetterCode = "GGY"
ELSE IF Country == "Ghana" THEN ThreeLetterCode = "GHA"
ELSE IF Country == "Gibraltar" THEN ThreeLetterCode = "GIB"
ELSE IF Country == "Guinea" THEN ThreeLetterCode = "GIN"
ELSE IF Country == "Guadeloupe" THEN ThreeLetterCode = "GLP"
ELSE IF Country == "Gambia" THEN ThreeLetterCode = "GMB"
ELSE IF Country == "Guinea-Bissau" THEN ThreeLetterCode = "GNB"
ELSE IF Country == "Equatorial Guinea" THEN ThreeLetterCode = "GNQ"
ELSE IF Country == "Greece" THEN ThreeLetterCode = "GRC"
ELSE IF Country == "Grenada" THEN ThreeLetterCode = "GRD"
ELSE IF Country == "Greenland" THEN ThreeLetterCode = "GRL"
ELSE IF Country == "Guatemala" THEN ThreeLetterCode = "GTM"
ELSE IF Country == "French Guiana" THEN ThreeLetterCode = "GUF"
ELSE IF Country == "Guam" THEN ThreeLetterCode = "GUM"
ELSE IF Country == "Guyana" THEN ThreeLetterCode = "GUY"
ELSE IF Country == "Hong Kong" THEN ThreeLetterCode = "HKG"
ELSE IF Country == "Heard Island and McDonald Islands" THEN ThreeLetterCode = "HMD"
ELSE IF Country == "Honduras" THEN ThreeLetterCode = "HND"
ELSE IF Country == "Croatia" THEN ThreeLetterCode = "HRV"
ELSE IF Country == "Haiti" THEN ThreeLetterCode = "HTI"
ELSE IF Country == "Hungary" THEN ThreeLetterCode = "HUN"
ELSE IF Country == "Indonesia" THEN ThreeLetterCode = "IDN"
ELSE IF Country == "Isle of Man" THEN ThreeLetterCode = "IMN"
ELSE IF Country == "India" THEN ThreeLetterCode = "IND"
ELSE IF Country == "British Indian Ocean Territory" THEN ThreeLetterCode = "IOT"
ELSE IF Country == "Ireland" THEN ThreeLetterCode = "IRL"
ELSE IF Country == "Iran, Islamic Republic of" THEN ThreeLetterCode = "IRN"
ELSE IF Country == "Iraq" THEN ThreeLetterCode = "IRQ"
ELSE IF Country == "Iceland" THEN ThreeLetterCode = "ISL"
ELSE IF Country == "Israel" THEN ThreeLetterCode = "ISR"
ELSE IF Country == "Italy" THEN ThreeLetterCode = "ITA"
ELSE IF Country == "Jamaica" THEN ThreeLetterCode = "JAM"
ELSE IF Country == "Jersey" THEN ThreeLetterCode = "JEY"
ELSE IF Country == "Jordan" THEN ThreeLetterCode = "JOR"
ELSE IF Country == "Japan" THEN ThreeLetterCode = "JPN"
ELSE IF Country == "Kazakhstan" THEN ThreeLetterCode = "KAZ"
ELSE IF Country == "Kenya" THEN ThreeLetterCode = "KEN"
ELSE IF Country == "Kyrgyzstan" THEN ThreeLetterCode = "KGZ"
ELSE IF Country == "Cambodia" THEN ThreeLetterCode = "KHM"
ELSE IF Country == "Kiribati" THEN ThreeLetterCode = "KIR"
ELSE IF Country == "Saint Kitts and Nevis" THEN ThreeLetterCode = "KNA"
ELSE IF Country == "Korea, Republic of" THEN ThreeLetterCode = "KOR"
ELSE IF Country == "Kuwait" THEN ThreeLetterCode = "KWT"
ELSE IF Country == "Lao People's Democratic Republic" THEN ThreeLetterCode = "LAO"
ELSE IF Country == "Lebanon" THEN ThreeLetterCode = "LBN"
ELSE IF Country == "Liberia" THEN ThreeLetterCode = "LBR"
ELSE IF Country == "Libya" THEN ThreeLetterCode = "LBY"
ELSE IF Country == "Saint Lucia" THEN ThreeLetterCode = "LCA"
ELSE IF Country == "Liechtenstein" THEN ThreeLetterCode = "LIE"
ELSE IF Country == "Sri Lanka" THEN ThreeLetterCode = "LKA"
ELSE IF Country == "Lesotho" THEN ThreeLetterCode = "LSO"
ELSE IF Country == "Lithuania" THEN ThreeLetterCode = "LTU"
ELSE IF Country == "Luxembourg" THEN ThreeLetterCode = "LUX"
ELSE IF Country == "Latvia" THEN ThreeLetterCode = "LVA"
ELSE IF Country == "Macao" THEN ThreeLetterCode = "MAC"
ELSE IF Country == "Saint Martin (French part)" THEN ThreeLetterCode = "MAF"
ELSE IF Country == "Morocco" THEN ThreeLetterCode = "MAR"
ELSE IF Country == "Monaco" THEN ThreeLetterCode = "MCO"
ELSE IF Country == "Moldova, Republic of" THEN ThreeLetterCode = "MDA"
ELSE IF Country == "Madagascar" THEN ThreeLetterCode = "MDG"
ELSE IF Country == "Maldives" THEN ThreeLetterCode = "MDV"
ELSE IF Country == "Mexico" THEN ThreeLetterCode = "MEX"
ELSE IF Country == "Marshall Islands" THEN ThreeLetterCode = "MHL"
ELSE IF Country == "North Macedonia" THEN ThreeLetterCode = "MKD"
ELSE IF Country == "Mali" THEN ThreeLetterCode = "MLI"
ELSE IF Country == "Malta" THEN ThreeLetterCode = "MLT"
ELSE IF Country == "Myanmar" THEN ThreeLetterCode = "MMR"
ELSE IF Country == "Montenegro" THEN ThreeLetterCode = "MNE"
ELSE IF Country == "Mongolia" THEN ThreeLetterCode = "MNG"
ELSE IF Country == "Northern Mariana Islands" THEN ThreeLetterCode = "MNP"
ELSE IF Country == "Mozambique" THEN ThreeLetterCode = "MOZ"
ELSE IF Country == "Mauritania" THEN ThreeLetterCode = "MRT"
ELSE IF Country == "Montserrat" THEN ThreeLetterCode = "MSR"
ELSE IF Country == "Martinique" THEN ThreeLetterCode = "MTQ"
ELSE IF Country == "Mauritius" THEN ThreeLetterCode = "MUS"
ELSE IF Country == "Malawi" THEN ThreeLetterCode = "MWI"
ELSE IF Country == "Malaysia" THEN ThreeLetterCode = "MYS"
ELSE IF Country == "Mayotte" THEN ThreeLetterCode = "MYT"
ELSE IF Country == "Namibia" THEN ThreeLetterCode = "NAM"
ELSE IF Country == "New Caledonia" THEN ThreeLetterCode = "NCL"
ELSE IF Country == "Niger" THEN ThreeLetterCode = "NER"
ELSE IF Country == "Norfolk Island" THEN ThreeLetterCode = "NFK"
ELSE IF Country == "Nigeria" THEN ThreeLetterCode = "NGA"
ELSE IF Country == "Nicaragua" THEN ThreeLetterCode = "NIC"
ELSE IF Country == "Niue" THEN ThreeLetterCode = "NIU"
ELSE IF Country == "Netherlands" THEN ThreeLetterCode = "NLD"
ELSE IF Country == "Norway" THEN ThreeLetterCode = "NOR"
ELSE IF Country == "Nepal" THEN ThreeLetterCode = "NPL"
ELSE IF Country == "Nauru" THEN ThreeLetterCode = "NRU"
ELSE IF Country == "New Zealand" THEN ThreeLetterCode = "NZL"
ELSE IF Country == "Oman" THEN ThreeLetterCode = "OMN"
ELSE IF Country == "Pakistan" THEN ThreeLetterCode = "PAK"
ELSE IF Country == "Panama" THEN ThreeLetterCode = "PAN"
ELSE IF Country == "Pitcairn" THEN ThreeLetterCode = "PCN"
ELSE IF Country == "Peru" THEN ThreeLetterCode = "PER"
ELSE IF Country == "Philippines" THEN ThreeLetterCode = "PHL"
ELSE IF Country == "Palau" THEN ThreeLetterCode = "PLW"
ELSE IF Country == "Papua New Guinea" THEN ThreeLetterCode = "PNG"
ELSE IF Country == "Poland" THEN ThreeLetterCode = "POL"
ELSE IF Country == "Puerto Rico" THEN ThreeLetterCode = "PRI"
ELSE IF Country == "Korea, Democratic People's Republic of" THEN ThreeLetterCode = "PRK"
ELSE IF Country == "Portugal" THEN ThreeLetterCode = "PRT"
ELSE IF Country == "Paraguay" THEN ThreeLetterCode = "PRY"
ELSE IF Country == "Palestine, State of" THEN ThreeLetterCode = "PSE"
ELSE IF Country == "French Polynesia" THEN ThreeLetterCode = "PYF"
ELSE IF Country == "Qatar" THEN ThreeLetterCode = "QAT"
ELSE IF Country == "Réunion" THEN ThreeLetterCode = "REU"
ELSE IF Country == "Romania" THEN ThreeLetterCode = "ROU"
ELSE IF Country == "Russian Federation" THEN ThreeLetterCode = "RUS"
ELSE IF Country == "Rwanda" THEN ThreeLetterCode = "RWA"
ELSE IF Country == "Saudi Arabia" THEN ThreeLetterCode = "SAU"
ELSE IF Country == "Sudan" THEN ThreeLetterCode = "SDN"
ELSE IF Country == "Senegal" THEN ThreeLetterCode = "SEN"
ELSE IF Country == "Singapore" THEN ThreeLetterCode = "SGP"
ELSE IF Country == "South Georgia and the South Sandwich Islands" THEN ThreeLetterCode = "SGS"
ELSE IF Country == "Saint Helena, Ascension and Tristan Da Cunha" THEN ThreeLetterCode = "SHN"
ELSE IF Country == "Svalbard and Jan Mayen" THEN ThreeLetterCode = "SJM"
ELSE IF Country == "Solomon Islands" THEN ThreeLetterCode = "SLB"
ELSE IF Country == "Sierra Leone" THEN ThreeLetterCode = "SLE"
ELSE IF Country == "El Salvador" THEN ThreeLetterCode = "SLV"
ELSE IF Country == "San Marino" THEN ThreeLetterCode = "SMR"
ELSE IF Country == "Somalia" THEN ThreeLetterCode = "SOM"
ELSE IF Country == "Saint Pierre and Miquelon" THEN ThreeLetterCode = "SPM"
ELSE IF Country == "Serbia" THEN ThreeLetterCode = "SRB"
ELSE IF Country == "Sao Tome and Principe" THEN ThreeLetterCode = "STP"
ELSE IF Country == "Suriname" THEN ThreeLetterCode = "SUR"
ELSE IF Country == "Slovakia" THEN ThreeLetterCode = "SVK"
ELSE IF Country == "Slovenia" THEN ThreeLetterCode = "SVN"
ELSE IF Country == "Sweden" THEN ThreeLetterCode = "SWE"
ELSE IF Country == "Eswatini" THEN ThreeLetterCode = "SWZ"
ELSE IF Country == "Sint Maarten (Dutch part)" THEN ThreeLetterCode = "SXM"
ELSE IF Country == "Seychelles" THEN ThreeLetterCode = "SYC"
ELSE IF Country == "Syrian Arab Republic" THEN ThreeLetterCode = "SYR"
ELSE IF Country == "Turks and Caicos Islands" THEN ThreeLetterCode = "TCA"
ELSE IF Country == "Chad" THEN ThreeLetterCode = "TCD"
ELSE IF Country == "Togo" THEN ThreeLetterCode = "TGO"
ELSE IF Country == "Thailand" THEN ThreeLetterCode = "THA"
ELSE IF Country == "Tajikistan" THEN ThreeLetterCode = "TJK"
ELSE IF Country == "Tokelau" THEN ThreeLetterCode = "TKL"
ELSE IF Country == "Turkmenistan" THEN ThreeLetterCode = "TKM"
ELSE IF Country == "Timor-Leste" THEN ThreeLetterCode = "TLS"
ELSE IF Country == "Tonga" THEN ThreeLetterCode = "TON"
ELSE IF Country == "Trinidad and Tobago" THEN ThreeLetterCode = "TTO"
ELSE IF Country == "Tunisia" THEN ThreeLetterCode = "TUN"
ELSE IF Country == "Türkiye" THEN ThreeLetterCode = "TUR"
ELSE IF Country == "Tuvalu" THEN ThreeLetterCode = "TUV"
ELSE IF Country == "Taiwan" THEN ThreeLetterCode = "TWN"
ELSE IF Country == "Tanzania, United Republic of" THEN ThreeLetterCode = "TZA"
ELSE IF Country == "Uganda" THEN ThreeLetterCode = "UGA"
ELSE IF Country == "Ukraine" THEN ThreeLetterCode = "UKR"
ELSE IF Country == "United States Minor Outlying Islands" THEN ThreeLetterCode = "UMI"
ELSE IF Country == "Uruguay" THEN ThreeLetterCode = "URY"
ELSE IF Country == "United States" THEN ThreeLetterCode = "USA"
ELSE IF Country == "Uzbekistan" THEN ThreeLetterCode = "UZB"
ELSE IF Country == "Holy See (Vatican City State)" THEN ThreeLetterCode = "VAT"
ELSE IF Country == "Saint Vincent and the Grenadines" THEN ThreeLetterCode = "VCT"
ELSE IF Country == "Venezuela, Bolivarian Republic of" THEN ThreeLetterCode = "VEN"
ELSE IF Country == "Virgin Islands, British" THEN ThreeLetterCode = "VGB"
ELSE IF Country == "Virgin Islands, U.S." THEN ThreeLetterCode = "VIR"
ELSE IF Country == "Vietnam" THEN ThreeLetterCode = "VNM"
ELSE IF Country == "Vanuatu" THEN ThreeLetterCode = "VUT"
ELSE IF Country == "Wallis and Futuna" THEN ThreeLetterCode = "WLF"
ELSE IF Country == "Samoa" THEN ThreeLetterCode = "WSM"
ELSE IF Country == "Yemen" THEN ThreeLetterCode = "YEM"
ELSE IF Country == "South Africa" THEN ThreeLetterCode = "ZAF"
ELSE IF Country == "Zambia" THEN ThreeLetterCode = "ZMB"
ELSE IF Country == "Zimbabwe" THEN ThreeLetterCode = "ZWE"
ELSE IF Country == "South Sudan" THEN ThreeLetterCode = "SSD"
ELSE IF Country == "Kosovo" THEN ThreeLetterCode = "XKX"
ELSE ThreeLetterCode = "USA"</v>
      </c>
      <c r="P315" s="33" t="str">
        <f>VLOOKUP(N315,'[1]Sheet1 (2)'!$L:$M,2,0)</f>
        <v/>
      </c>
    </row>
    <row r="316" spans="1:16" hidden="1" x14ac:dyDescent="0.2">
      <c r="A316" s="13" t="s">
        <v>302</v>
      </c>
      <c r="B316" s="13" t="s">
        <v>372</v>
      </c>
      <c r="C316" s="13" t="s">
        <v>322</v>
      </c>
      <c r="D316" s="15" t="s">
        <v>362</v>
      </c>
      <c r="E316" s="15" t="s">
        <v>10</v>
      </c>
      <c r="F316" s="15" t="s">
        <v>324</v>
      </c>
      <c r="G316" s="15"/>
      <c r="H316" s="15"/>
      <c r="I316" s="15"/>
      <c r="J316" s="15" t="s">
        <v>363</v>
      </c>
      <c r="K316" s="25" t="s">
        <v>324</v>
      </c>
      <c r="L316" s="15"/>
      <c r="M316" s="15"/>
      <c r="N316" t="str">
        <f t="shared" si="10"/>
        <v>CoreEmployee(ST)-Employee-CHR(CSOD)Original Hire Date</v>
      </c>
      <c r="O316" t="str">
        <f t="shared" si="9"/>
        <v/>
      </c>
      <c r="P316" t="str">
        <f>VLOOKUP(N316,'[1]Sheet1 (2)'!$L:$M,2,0)</f>
        <v/>
      </c>
    </row>
    <row r="317" spans="1:16" hidden="1" x14ac:dyDescent="0.2">
      <c r="A317" s="13" t="s">
        <v>302</v>
      </c>
      <c r="B317" s="13" t="s">
        <v>372</v>
      </c>
      <c r="C317" s="13" t="s">
        <v>322</v>
      </c>
      <c r="D317" s="15" t="s">
        <v>364</v>
      </c>
      <c r="E317" s="15" t="s">
        <v>10</v>
      </c>
      <c r="F317" s="15" t="s">
        <v>324</v>
      </c>
      <c r="G317" s="15"/>
      <c r="H317" s="15"/>
      <c r="I317" s="15"/>
      <c r="J317" s="15"/>
      <c r="K317" s="15"/>
      <c r="L317" s="15"/>
      <c r="M317" s="15"/>
      <c r="N317" t="str">
        <f t="shared" si="10"/>
        <v>CoreEmployee(ST)-Employee-CHR(CSOD)Last Hire Date</v>
      </c>
      <c r="O317" t="str">
        <f t="shared" si="9"/>
        <v/>
      </c>
      <c r="P317" t="str">
        <f>VLOOKUP(N317,'[1]Sheet1 (2)'!$L:$M,2,0)</f>
        <v/>
      </c>
    </row>
    <row r="318" spans="1:16" hidden="1" x14ac:dyDescent="0.2">
      <c r="A318" s="13" t="s">
        <v>302</v>
      </c>
      <c r="B318" s="13" t="s">
        <v>372</v>
      </c>
      <c r="C318" s="13" t="s">
        <v>322</v>
      </c>
      <c r="D318" s="15" t="s">
        <v>37</v>
      </c>
      <c r="E318" s="15" t="s">
        <v>17</v>
      </c>
      <c r="F318" s="15" t="s">
        <v>11</v>
      </c>
      <c r="G318" s="15">
        <v>30</v>
      </c>
      <c r="H318" s="15"/>
      <c r="I318" s="15"/>
      <c r="J318" s="15" t="s">
        <v>37</v>
      </c>
      <c r="K318" s="15" t="s">
        <v>312</v>
      </c>
      <c r="L318" s="15">
        <v>30</v>
      </c>
      <c r="M318" s="15"/>
      <c r="N318" t="str">
        <f t="shared" si="10"/>
        <v>CoreEmployee(ST)-Employee-CHR(CSOD)Phone</v>
      </c>
      <c r="O318" t="str">
        <f t="shared" si="9"/>
        <v/>
      </c>
      <c r="P318" t="str">
        <f>VLOOKUP(N318,'[1]Sheet1 (2)'!$L:$M,2,0)</f>
        <v/>
      </c>
    </row>
    <row r="319" spans="1:16" hidden="1" x14ac:dyDescent="0.2">
      <c r="A319" s="13" t="s">
        <v>302</v>
      </c>
      <c r="B319" s="13" t="s">
        <v>372</v>
      </c>
      <c r="C319" s="13" t="s">
        <v>322</v>
      </c>
      <c r="D319" s="15" t="s">
        <v>126</v>
      </c>
      <c r="E319" s="15" t="s">
        <v>17</v>
      </c>
      <c r="F319" s="15" t="s">
        <v>11</v>
      </c>
      <c r="G319" s="15">
        <v>30</v>
      </c>
      <c r="H319" s="15"/>
      <c r="I319" s="15"/>
      <c r="J319" s="15" t="s">
        <v>126</v>
      </c>
      <c r="K319" s="15" t="s">
        <v>312</v>
      </c>
      <c r="L319" s="15">
        <v>30</v>
      </c>
      <c r="M319" s="15"/>
      <c r="N319" t="str">
        <f t="shared" si="10"/>
        <v>CoreEmployee(ST)-Employee-CHR(CSOD)Mobile</v>
      </c>
      <c r="O319" t="str">
        <f t="shared" si="9"/>
        <v/>
      </c>
      <c r="P319" t="str">
        <f>VLOOKUP(N319,'[1]Sheet1 (2)'!$L:$M,2,0)</f>
        <v/>
      </c>
    </row>
    <row r="320" spans="1:16" hidden="1" x14ac:dyDescent="0.2">
      <c r="A320" s="13" t="s">
        <v>302</v>
      </c>
      <c r="B320" s="13" t="s">
        <v>372</v>
      </c>
      <c r="C320" s="13" t="s">
        <v>322</v>
      </c>
      <c r="D320" s="15" t="s">
        <v>38</v>
      </c>
      <c r="E320" s="15" t="s">
        <v>17</v>
      </c>
      <c r="F320" s="15" t="s">
        <v>11</v>
      </c>
      <c r="G320" s="15">
        <v>30</v>
      </c>
      <c r="H320" s="15"/>
      <c r="I320" s="15"/>
      <c r="J320" s="15" t="s">
        <v>365</v>
      </c>
      <c r="K320" s="15" t="s">
        <v>312</v>
      </c>
      <c r="L320" s="15">
        <v>30</v>
      </c>
      <c r="M320" s="15"/>
      <c r="N320" t="str">
        <f t="shared" si="10"/>
        <v>CoreEmployee(ST)-Employee-CHR(CSOD)Fax</v>
      </c>
      <c r="O320" t="str">
        <f t="shared" si="9"/>
        <v/>
      </c>
      <c r="P320" t="str">
        <f>VLOOKUP(N320,'[1]Sheet1 (2)'!$L:$M,2,0)</f>
        <v/>
      </c>
    </row>
    <row r="321" spans="1:16" ht="48" hidden="1" x14ac:dyDescent="0.2">
      <c r="A321" s="13" t="s">
        <v>302</v>
      </c>
      <c r="B321" s="13" t="s">
        <v>372</v>
      </c>
      <c r="C321" s="13" t="s">
        <v>322</v>
      </c>
      <c r="D321" s="15" t="s">
        <v>366</v>
      </c>
      <c r="E321" s="15" t="s">
        <v>10</v>
      </c>
      <c r="F321" s="15" t="s">
        <v>349</v>
      </c>
      <c r="G321" s="15"/>
      <c r="H321" s="15"/>
      <c r="I321" s="17" t="s">
        <v>350</v>
      </c>
      <c r="J321" s="15" t="s">
        <v>16</v>
      </c>
      <c r="K321" s="15" t="s">
        <v>367</v>
      </c>
      <c r="L321" s="15"/>
      <c r="M321" s="15"/>
      <c r="N321" t="str">
        <f t="shared" si="10"/>
        <v>CoreEmployee(ST)-Employee-CHR(CSOD)Status</v>
      </c>
      <c r="O321" t="str">
        <f t="shared" si="9"/>
        <v/>
      </c>
      <c r="P321" t="str">
        <f>VLOOKUP(N321,'[1]Sheet1 (2)'!$L:$M,2,0)</f>
        <v/>
      </c>
    </row>
    <row r="322" spans="1:16" hidden="1" x14ac:dyDescent="0.2">
      <c r="A322" s="13" t="s">
        <v>302</v>
      </c>
      <c r="B322" s="13" t="s">
        <v>372</v>
      </c>
      <c r="C322" s="13" t="s">
        <v>322</v>
      </c>
      <c r="D322" s="15" t="s">
        <v>368</v>
      </c>
      <c r="E322" s="15" t="s">
        <v>17</v>
      </c>
      <c r="F322" s="15" t="s">
        <v>11</v>
      </c>
      <c r="G322" s="15">
        <v>128</v>
      </c>
      <c r="H322" s="15"/>
      <c r="I322" s="15"/>
      <c r="J322" s="15" t="s">
        <v>351</v>
      </c>
      <c r="K322" s="15" t="s">
        <v>13</v>
      </c>
      <c r="L322" s="15">
        <v>256</v>
      </c>
      <c r="M322" s="15"/>
      <c r="N322" t="str">
        <f t="shared" si="10"/>
        <v>CoreEmployee(ST)-Employee-CHR(CSOD)Personal Email</v>
      </c>
      <c r="O322" t="str">
        <f t="shared" si="9"/>
        <v/>
      </c>
      <c r="P322" t="str">
        <f>VLOOKUP(N322,'[1]Sheet1 (2)'!$L:$M,2,0)</f>
        <v/>
      </c>
    </row>
    <row r="323" spans="1:16" ht="48" hidden="1" x14ac:dyDescent="0.2">
      <c r="A323" s="13" t="s">
        <v>302</v>
      </c>
      <c r="B323" s="13" t="s">
        <v>372</v>
      </c>
      <c r="C323" s="13" t="s">
        <v>322</v>
      </c>
      <c r="D323" s="15" t="s">
        <v>112</v>
      </c>
      <c r="E323" s="15" t="s">
        <v>17</v>
      </c>
      <c r="F323" s="15" t="s">
        <v>11</v>
      </c>
      <c r="G323" s="15"/>
      <c r="H323" s="5" t="s">
        <v>298</v>
      </c>
      <c r="I323" s="15"/>
      <c r="J323" s="15" t="s">
        <v>112</v>
      </c>
      <c r="K323" s="15" t="s">
        <v>312</v>
      </c>
      <c r="L323" s="15"/>
      <c r="M323" s="15"/>
      <c r="N323" t="str">
        <f t="shared" si="10"/>
        <v>CoreEmployee(ST)-Employee-CHR(CSOD)Language</v>
      </c>
      <c r="O323" t="str">
        <f t="shared" ref="O323:O386" si="11">IF(H323="","",H323)</f>
        <v>IF Language == "en-US" THEN LanguageID = 1   ELSE IF Language == "en-GB" THEN LanguageID = 2   ELSE IF Language == "fr-FR" THEN LanguageID = 13   ELSE IF Language == "es-MX" THEN LanguageID = 14   ELSE LanguageID = 1</v>
      </c>
      <c r="P323" t="str">
        <f>VLOOKUP(N323,'[1]Sheet1 (2)'!$L:$M,2,0)</f>
        <v/>
      </c>
    </row>
    <row r="324" spans="1:16" ht="409.6" hidden="1" x14ac:dyDescent="0.2">
      <c r="A324" s="13" t="s">
        <v>302</v>
      </c>
      <c r="B324" s="13" t="s">
        <v>372</v>
      </c>
      <c r="C324" s="13" t="s">
        <v>322</v>
      </c>
      <c r="D324" s="15" t="s">
        <v>23</v>
      </c>
      <c r="E324" s="15" t="s">
        <v>17</v>
      </c>
      <c r="F324" s="15" t="s">
        <v>11</v>
      </c>
      <c r="G324" s="15"/>
      <c r="H324" s="7" t="s">
        <v>300</v>
      </c>
      <c r="I324" s="15"/>
      <c r="J324" s="15" t="s">
        <v>369</v>
      </c>
      <c r="K324" s="15" t="s">
        <v>13</v>
      </c>
      <c r="L324" s="15">
        <v>500</v>
      </c>
      <c r="M324" s="15"/>
      <c r="N324" t="str">
        <f t="shared" si="10"/>
        <v>CoreEmployee(ST)-Employee-CHR(CSOD)Time Zone</v>
      </c>
      <c r="O324" t="str">
        <f t="shared" si="11"/>
        <v>IF Timezone == "MIT" THEN TimeZoneID = 1
ELSE IF Timezone == "MIT" THEN TimeZoneID = 2
ELSE IF Timezone == "HST" THEN TimeZoneID = 3
ELSE IF Timezone == "AKST" THEN TimeZoneID = 4
ELSE IF Timezone == "PST" THEN TimeZoneID = 5
ELSE IF Timezone == "PNT" THEN TimeZoneID = 6
ELSE IF Timezone == "MST" THEN TimeZoneID = 8
ELSE IF Timezone == "CST" THEN TimeZoneID = 9
ELSE IF Timezone == "CST" THEN TimeZoneID = 10
ELSE IF Timezone == "CST" THEN TimeZoneID = 12
ELSE IF Timezone == "COT" THEN TimeZoneID = 13
ELSE IF Timezone == "EST" THEN TimeZoneID = 14
ELSE IF Timezone == "IET" THEN TimeZoneID = 15
ELSE IF Timezone == "AST" THEN TimeZoneID = 16
ELSE IF Timezone == "PRT" THEN TimeZoneID = 17
ELSE IF Timezone == "PRT" THEN TimeZoneID = 18
ELSE IF Timezone == "CNT" THEN TimeZoneID = 19
ELSE IF Timezone == "BRT-BRST" THEN TimeZoneID = 20
ELSE IF Timezone == "AGT" THEN TimeZoneID = 21
ELSE IF Timezone == "AGT" THEN TimeZoneID = 22
ELSE IF Timezone == "AGT" THEN TimeZoneID = 23
ELSE IF Timezone == "AZOT" THEN TimeZoneID = 24
ELSE IF Timezone == "CVT" THEN TimeZoneID = 25
ELSE IF Timezone == "GMT" THEN TimeZoneID = 26
ELSE IF Timezone == "GMT" THEN TimeZoneID = 27
ELSE IF Timezone == "CET" THEN TimeZoneID = 28
ELSE IF Timezone == "CET" THEN TimeZoneID = 29
ELSE IF Timezone == "CET" THEN TimeZoneID = 30
ELSE IF Timezone == "CET" THEN TimeZoneID = 31
ELSE IF Timezone == "CET" THEN TimeZoneID = 32
ELSE IF Timezone == "EET" THEN TimeZoneID = 33
ELSE IF Timezone == "EET" THEN TimeZoneID = 34
ELSE IF Timezone == "EET" THEN TimeZoneID = 35
ELSE IF Timezone == "SAST" THEN TimeZoneID = 36
ELSE IF Timezone == "EET" THEN TimeZoneID = 37
ELSE IF Timezone == "IsraelST" THEN TimeZoneID = 38
ELSE IF Timezone == "EAT" THEN TimeZoneID = 39
ELSE IF Timezone == "EAT" THEN TimeZoneID = 40
ELSE IF Timezone == "MSK" THEN TimeZoneID = 41
ELSE IF Timezone == "EAT" THEN TimeZoneID = 42
ELSE IF Timezone == "MET" THEN TimeZoneID = 43
ELSE IF Timezone == "GST" THEN TimeZoneID = 44
ELSE IF Timezone == "NET" THEN TimeZoneID = 45
ELSE IF Timezone == "NET" THEN TimeZoneID = 46
ELSE IF Timezone == "YEKT" THEN TimeZoneID = 47
ELSE IF Timezone == "WAST" THEN TimeZoneID = 48
ELSE IF Timezone == "IST" THEN TimeZoneID = 49
ELSE IF Timezone == "NPT" THEN TimeZoneID = 50
ELSE IF Timezone == "NOVT" THEN TimeZoneID = 51
ELSE IF Timezone == "ALMT" THEN TimeZoneID = 52
ELSE IF Timezone == "IST" THEN TimeZoneID = 53
ELSE IF Timezone == "MMT" THEN TimeZoneID = 54
ELSE IF Timezone == "UTC+7" THEN TimeZoneID = 55
ELSE IF Timezone == "KRAT" THEN TimeZoneID = 56
ELSE IF Timezone == "CTT" THEN TimeZoneID = 57
ELSE IF Timezone == "IRKT" THEN TimeZoneID = 58
ELSE IF Timezone == "MYT" THEN TimeZoneID = 59
ELSE IF Timezone == "AWST" THEN TimeZoneID = 60
ELSE IF Timezone == "CST" THEN TimeZoneID = 61
ELSE IF Timezone == "JST" THEN TimeZoneID = 62
ELSE IF Timezone == "KST" THEN TimeZoneID = 63
ELSE IF Timezone == "YAKT" THEN TimeZoneID = 64
ELSE IF Timezone == "ACST" THEN TimeZoneID = 65
ELSE IF Timezone == "ACT" THEN TimeZoneID = 66
ELSE IF Timezone == "AEST" THEN TimeZoneID = 67
ELSE IF Timezone == "AET" THEN TimeZoneID = 68
ELSE IF Timezone == "ChST" THEN TimeZoneID = 69
ELSE IF Timezone == "AET" THEN TimeZoneID = 70
ELSE IF Timezone == "AET" THEN TimeZoneID = 71
ELSE IF Timezone == "SST" THEN TimeZoneID = 72
ELSE IF Timezone == "NZST" THEN TimeZoneID = 73
ELSE IF Timezone == "NST" THEN TimeZoneID = 74
ELSE IF Timezone == "NST" THEN TimeZoneID = 75
ELSE IF Timezone == "UTC-11" THEN TimeZoneID = 76
ELSE IF Timezone == "PST" THEN TimeZoneID = 77
ELSE IF Timezone == "MST" THEN TimeZoneID = 78
ELSE IF Timezone == "CDT" THEN TimeZoneID = 79
ELSE IF Timezone == "VET" THEN TimeZoneID = 80
ELSE IF Timezone == "PYT" THEN TimeZoneID = 81
ELSE IF Timezone == "AMT" THEN TimeZoneID = 82
ELSE IF Timezone == "ART" THEN TimeZoneID = 83
ELSE IF Timezone == "UYT" THEN TimeZoneID = 84
ELSE IF Timezone == "UTC-02" THEN TimeZoneID = 85
ELSE IF Timezone == "WET" THEN TimeZoneID = 86
ELSE IF Timezone == "UTC" THEN TimeZoneID = 87
ELSE IF Timezone == "AST" THEN TimeZoneID = 88
ELSE IF Timezone == "EEST" THEN TimeZoneID = 89
ELSE IF Timezone == "EEST" THEN TimeZoneID = 90
ELSE IF Timezone == "WAT" THEN TimeZoneID = 92
ELSE IF Timezone == "AZT" THEN TimeZoneID = 93
ELSE IF Timezone == "MUT" THEN TimeZoneID = 94
ELSE IF Timezone == "GET" THEN TimeZoneID = 95
ELSE IF Timezone == "PKT" THEN TimeZoneID = 97
ELSE IF Timezone == "BST" THEN TimeZoneID = 98
ELSE IF Timezone == "ULAT" THEN TimeZoneID = 100
ELSE IF Timezone == "UTC+12" THEN TimeZoneID = 101
ELSE IF Timezone == "PETT" THEN TimeZoneID = 102
ELSE IF Timezone == "BRT" THEN TimeZoneID = 103
ELSE IF Timezone == "EEST" THEN TimeZoneID = 104
ELSE IF Timezone == "EET" THEN TimeZoneID = 105
ELSE IF Timezone == "VLAT" THEN TimeZoneID = 106
ELSE IF Timezone == "SAMT" THEN TimeZoneID = 107
ELSE IF Timezone == "SRET" THEN TimeZoneID = 108
ELSE IF Timezone == "AST" THEN TimeZoneID = 109
ELSE IF Timezone == "WAT" THEN TimeZoneID = 110
ELSE IF Timezone == "GMT" THEN TimeZoneID = 111
ELSE IF Timezone == "SST" THEN TimeZoneID = 112
ELSE IF Timezone == "OMST" THEN TimeZoneID = 113
ELSE TimeZoneID = 9</v>
      </c>
      <c r="P324" t="str">
        <f>VLOOKUP(N324,'[1]Sheet1 (2)'!$L:$M,2,0)</f>
        <v/>
      </c>
    </row>
    <row r="325" spans="1:16" hidden="1" x14ac:dyDescent="0.2">
      <c r="A325" s="13" t="s">
        <v>302</v>
      </c>
      <c r="B325" s="13" t="s">
        <v>372</v>
      </c>
      <c r="C325" s="13" t="s">
        <v>322</v>
      </c>
      <c r="D325" s="15" t="s">
        <v>370</v>
      </c>
      <c r="E325" s="15" t="s">
        <v>17</v>
      </c>
      <c r="F325" s="15" t="s">
        <v>371</v>
      </c>
      <c r="G325" s="15"/>
      <c r="H325" s="15" t="s">
        <v>372</v>
      </c>
      <c r="I325" s="15"/>
      <c r="J325" s="15" t="s">
        <v>373</v>
      </c>
      <c r="K325" s="15" t="s">
        <v>312</v>
      </c>
      <c r="L325" s="15">
        <v>1000</v>
      </c>
      <c r="M325" s="15"/>
      <c r="N325" t="str">
        <f t="shared" si="10"/>
        <v>CoreEmployee(ST)-Employee-CHR(CSOD)User Type</v>
      </c>
      <c r="O325" t="str">
        <f t="shared" si="11"/>
        <v>Employee</v>
      </c>
      <c r="P325" t="str">
        <f>VLOOKUP(N325,'[1]Sheet1 (2)'!$L:$M,2,0)</f>
        <v/>
      </c>
    </row>
    <row r="326" spans="1:16" hidden="1" x14ac:dyDescent="0.2">
      <c r="A326" s="13" t="s">
        <v>302</v>
      </c>
      <c r="B326" s="13" t="s">
        <v>372</v>
      </c>
      <c r="C326" s="13" t="s">
        <v>322</v>
      </c>
      <c r="D326" s="15" t="s">
        <v>374</v>
      </c>
      <c r="E326" s="15" t="s">
        <v>10</v>
      </c>
      <c r="F326" s="15" t="s">
        <v>11</v>
      </c>
      <c r="G326" s="15">
        <v>100</v>
      </c>
      <c r="H326" s="15"/>
      <c r="I326" s="15"/>
      <c r="J326" s="15" t="s">
        <v>375</v>
      </c>
      <c r="K326" s="15" t="s">
        <v>13</v>
      </c>
      <c r="L326" s="15">
        <v>50</v>
      </c>
      <c r="M326" s="15"/>
      <c r="N326" t="str">
        <f t="shared" si="10"/>
        <v>CoreEmployee(ST)-Employee-CHR(CSOD)Division*</v>
      </c>
      <c r="O326" t="str">
        <f t="shared" si="11"/>
        <v/>
      </c>
      <c r="P326" t="str">
        <f>VLOOKUP(N326,'[1]Sheet1 (2)'!$L:$M,2,0)</f>
        <v/>
      </c>
    </row>
    <row r="327" spans="1:16" hidden="1" x14ac:dyDescent="0.2">
      <c r="A327" s="13" t="s">
        <v>302</v>
      </c>
      <c r="B327" s="13" t="s">
        <v>372</v>
      </c>
      <c r="C327" s="13" t="s">
        <v>322</v>
      </c>
      <c r="D327" s="15" t="s">
        <v>376</v>
      </c>
      <c r="E327" s="15" t="s">
        <v>10</v>
      </c>
      <c r="F327" s="15" t="s">
        <v>11</v>
      </c>
      <c r="G327" s="15">
        <v>100</v>
      </c>
      <c r="H327" s="15" t="s">
        <v>377</v>
      </c>
      <c r="I327" s="15"/>
      <c r="J327" s="15" t="s">
        <v>378</v>
      </c>
      <c r="K327" s="15" t="s">
        <v>13</v>
      </c>
      <c r="L327" s="15">
        <v>255</v>
      </c>
      <c r="M327" s="15"/>
      <c r="N327" t="str">
        <f t="shared" ref="N327:N390" si="12">_xlfn.CONCAT(A327,C327,D327)</f>
        <v>CoreEmployee(ST)-Employee-CHR(CSOD)Position*</v>
      </c>
      <c r="O327" t="str">
        <f t="shared" si="11"/>
        <v>FLASK110057</v>
      </c>
      <c r="P327" t="str">
        <f>VLOOKUP(N327,'[1]Sheet1 (2)'!$L:$M,2,0)</f>
        <v/>
      </c>
    </row>
    <row r="328" spans="1:16" hidden="1" x14ac:dyDescent="0.2">
      <c r="A328" s="13" t="s">
        <v>302</v>
      </c>
      <c r="B328" s="13" t="s">
        <v>372</v>
      </c>
      <c r="C328" s="13" t="s">
        <v>322</v>
      </c>
      <c r="D328" s="15" t="s">
        <v>379</v>
      </c>
      <c r="E328" s="15" t="s">
        <v>17</v>
      </c>
      <c r="F328" s="15" t="s">
        <v>11</v>
      </c>
      <c r="G328" s="15">
        <v>100</v>
      </c>
      <c r="H328" s="15"/>
      <c r="I328" s="15"/>
      <c r="J328" s="15"/>
      <c r="K328" s="15"/>
      <c r="L328" s="15"/>
      <c r="M328" s="15"/>
      <c r="N328" t="str">
        <f t="shared" si="12"/>
        <v>CoreEmployee(ST)-Employee-CHR(CSOD)Grade</v>
      </c>
      <c r="O328" t="str">
        <f t="shared" si="11"/>
        <v/>
      </c>
      <c r="P328" t="str">
        <f>VLOOKUP(N328,'[1]Sheet1 (2)'!$L:$M,2,0)</f>
        <v/>
      </c>
    </row>
    <row r="329" spans="1:16" hidden="1" x14ac:dyDescent="0.2">
      <c r="A329" s="13" t="s">
        <v>302</v>
      </c>
      <c r="B329" s="13" t="s">
        <v>372</v>
      </c>
      <c r="C329" s="13" t="s">
        <v>322</v>
      </c>
      <c r="D329" s="15" t="s">
        <v>380</v>
      </c>
      <c r="E329" s="15" t="s">
        <v>10</v>
      </c>
      <c r="F329" s="15" t="s">
        <v>11</v>
      </c>
      <c r="G329" s="15">
        <v>100</v>
      </c>
      <c r="H329" s="15">
        <v>4501</v>
      </c>
      <c r="I329" s="15"/>
      <c r="J329" s="15" t="s">
        <v>381</v>
      </c>
      <c r="K329" s="15" t="s">
        <v>13</v>
      </c>
      <c r="L329" s="15">
        <v>255</v>
      </c>
      <c r="M329" s="15"/>
      <c r="N329" t="str">
        <f t="shared" si="12"/>
        <v>CoreEmployee(ST)-Employee-CHR(CSOD)Cost Center*</v>
      </c>
      <c r="O329">
        <f t="shared" si="11"/>
        <v>4501</v>
      </c>
      <c r="P329" t="str">
        <f>VLOOKUP(N329,'[1]Sheet1 (2)'!$L:$M,2,0)</f>
        <v/>
      </c>
    </row>
    <row r="330" spans="1:16" hidden="1" x14ac:dyDescent="0.2">
      <c r="A330" s="13" t="s">
        <v>302</v>
      </c>
      <c r="B330" s="13" t="s">
        <v>372</v>
      </c>
      <c r="C330" s="13" t="s">
        <v>322</v>
      </c>
      <c r="D330" s="15" t="s">
        <v>152</v>
      </c>
      <c r="E330" s="15" t="s">
        <v>17</v>
      </c>
      <c r="F330" s="15" t="s">
        <v>11</v>
      </c>
      <c r="G330" s="15">
        <v>100</v>
      </c>
      <c r="H330" s="15"/>
      <c r="I330" s="15"/>
      <c r="J330" s="15"/>
      <c r="K330" s="15"/>
      <c r="L330" s="15"/>
      <c r="M330" s="15"/>
      <c r="N330" t="str">
        <f t="shared" si="12"/>
        <v>CoreEmployee(ST)-Employee-CHR(CSOD)Location</v>
      </c>
      <c r="O330" t="str">
        <f t="shared" si="11"/>
        <v/>
      </c>
      <c r="P330" t="str">
        <f>VLOOKUP(N330,'[1]Sheet1 (2)'!$L:$M,2,0)</f>
        <v/>
      </c>
    </row>
    <row r="331" spans="1:16" hidden="1" x14ac:dyDescent="0.2">
      <c r="A331" s="13" t="s">
        <v>302</v>
      </c>
      <c r="B331" s="13" t="s">
        <v>372</v>
      </c>
      <c r="C331" s="13" t="s">
        <v>322</v>
      </c>
      <c r="D331" s="15" t="s">
        <v>382</v>
      </c>
      <c r="E331" s="15" t="s">
        <v>17</v>
      </c>
      <c r="F331" s="15" t="s">
        <v>11</v>
      </c>
      <c r="G331" s="15">
        <v>100</v>
      </c>
      <c r="H331" s="15"/>
      <c r="I331" s="15"/>
      <c r="J331" s="15"/>
      <c r="K331" s="15"/>
      <c r="L331" s="15"/>
      <c r="M331" s="15"/>
      <c r="N331" t="str">
        <f t="shared" si="12"/>
        <v>CoreEmployee(ST)-Employee-CHR(CSOD)Legal Entity</v>
      </c>
      <c r="O331" t="str">
        <f t="shared" si="11"/>
        <v/>
      </c>
      <c r="P331" t="str">
        <f>VLOOKUP(N331,'[1]Sheet1 (2)'!$L:$M,2,0)</f>
        <v/>
      </c>
    </row>
    <row r="332" spans="1:16" hidden="1" x14ac:dyDescent="0.2">
      <c r="A332" s="13" t="s">
        <v>302</v>
      </c>
      <c r="B332" s="13" t="s">
        <v>372</v>
      </c>
      <c r="C332" s="13" t="s">
        <v>322</v>
      </c>
      <c r="D332" s="15" t="s">
        <v>383</v>
      </c>
      <c r="E332" s="15" t="s">
        <v>17</v>
      </c>
      <c r="F332" s="15" t="s">
        <v>11</v>
      </c>
      <c r="G332" s="15">
        <v>100</v>
      </c>
      <c r="H332" s="15"/>
      <c r="I332" s="15"/>
      <c r="J332" s="15"/>
      <c r="K332" s="15"/>
      <c r="L332" s="15"/>
      <c r="M332" s="15"/>
      <c r="N332" t="str">
        <f t="shared" si="12"/>
        <v>CoreEmployee(ST)-Employee-CHR(CSOD)HR Partner</v>
      </c>
      <c r="O332" t="str">
        <f t="shared" si="11"/>
        <v/>
      </c>
      <c r="P332" t="str">
        <f>VLOOKUP(N332,'[1]Sheet1 (2)'!$L:$M,2,0)</f>
        <v/>
      </c>
    </row>
    <row r="333" spans="1:16" hidden="1" x14ac:dyDescent="0.2">
      <c r="A333" s="13" t="s">
        <v>302</v>
      </c>
      <c r="B333" s="13" t="s">
        <v>372</v>
      </c>
      <c r="C333" s="13" t="s">
        <v>322</v>
      </c>
      <c r="D333" s="15" t="s">
        <v>384</v>
      </c>
      <c r="E333" s="15" t="s">
        <v>17</v>
      </c>
      <c r="F333" s="15" t="s">
        <v>324</v>
      </c>
      <c r="G333" s="15"/>
      <c r="H333" s="15"/>
      <c r="I333" s="15"/>
      <c r="J333" s="15" t="s">
        <v>385</v>
      </c>
      <c r="K333" s="15" t="s">
        <v>324</v>
      </c>
      <c r="L333" s="15"/>
      <c r="M333" s="15"/>
      <c r="N333" t="str">
        <f t="shared" si="12"/>
        <v>CoreEmployee(ST)-Employee-CHR(CSOD)Job Date</v>
      </c>
      <c r="O333" t="str">
        <f t="shared" si="11"/>
        <v/>
      </c>
      <c r="P333" t="str">
        <f>VLOOKUP(N333,'[1]Sheet1 (2)'!$L:$M,2,0)</f>
        <v/>
      </c>
    </row>
    <row r="334" spans="1:16" hidden="1" x14ac:dyDescent="0.2">
      <c r="A334" s="13" t="s">
        <v>302</v>
      </c>
      <c r="B334" s="13" t="s">
        <v>387</v>
      </c>
      <c r="C334" s="13" t="s">
        <v>386</v>
      </c>
      <c r="D334" s="15" t="s">
        <v>304</v>
      </c>
      <c r="E334" s="15" t="s">
        <v>10</v>
      </c>
      <c r="F334" s="15" t="s">
        <v>11</v>
      </c>
      <c r="G334" s="15">
        <v>100</v>
      </c>
      <c r="H334" s="15"/>
      <c r="I334" s="15"/>
      <c r="J334" s="15" t="s">
        <v>388</v>
      </c>
      <c r="K334" s="15" t="s">
        <v>13</v>
      </c>
      <c r="L334" s="15">
        <v>30</v>
      </c>
      <c r="M334" s="13"/>
      <c r="N334" t="str">
        <f t="shared" si="12"/>
        <v>CoreJob(ST)-PositionOU(CSOD)OU ID*</v>
      </c>
      <c r="O334" t="str">
        <f t="shared" si="11"/>
        <v/>
      </c>
      <c r="P334" t="str">
        <f>VLOOKUP(N334,'[1]Sheet1 (2)'!$L:$M,2,0)</f>
        <v/>
      </c>
    </row>
    <row r="335" spans="1:16" hidden="1" x14ac:dyDescent="0.2">
      <c r="A335" s="13" t="s">
        <v>302</v>
      </c>
      <c r="B335" s="13" t="s">
        <v>387</v>
      </c>
      <c r="C335" s="13" t="s">
        <v>386</v>
      </c>
      <c r="D335" s="15" t="s">
        <v>306</v>
      </c>
      <c r="E335" s="15" t="s">
        <v>10</v>
      </c>
      <c r="F335" s="15" t="s">
        <v>11</v>
      </c>
      <c r="G335" s="15">
        <v>1000</v>
      </c>
      <c r="H335" s="15"/>
      <c r="I335" s="15"/>
      <c r="J335" s="15" t="s">
        <v>389</v>
      </c>
      <c r="K335" s="15" t="s">
        <v>13</v>
      </c>
      <c r="L335" s="15">
        <v>255</v>
      </c>
      <c r="M335" s="13"/>
      <c r="N335" t="str">
        <f t="shared" si="12"/>
        <v>CoreJob(ST)-PositionOU(CSOD)OU Name*</v>
      </c>
      <c r="O335" t="str">
        <f t="shared" si="11"/>
        <v/>
      </c>
      <c r="P335" t="str">
        <f>VLOOKUP(N335,'[1]Sheet1 (2)'!$L:$M,2,0)</f>
        <v/>
      </c>
    </row>
    <row r="336" spans="1:16" ht="48" hidden="1" x14ac:dyDescent="0.2">
      <c r="A336" s="13" t="s">
        <v>302</v>
      </c>
      <c r="B336" s="13" t="s">
        <v>387</v>
      </c>
      <c r="C336" s="13" t="s">
        <v>386</v>
      </c>
      <c r="D336" s="15" t="s">
        <v>16</v>
      </c>
      <c r="E336" s="15" t="s">
        <v>17</v>
      </c>
      <c r="F336" s="15" t="s">
        <v>18</v>
      </c>
      <c r="G336" s="15"/>
      <c r="H336" s="15">
        <v>1</v>
      </c>
      <c r="I336" s="17" t="s">
        <v>19</v>
      </c>
      <c r="J336" s="15"/>
      <c r="K336" s="15"/>
      <c r="L336" s="15"/>
      <c r="M336" s="13"/>
      <c r="N336" t="str">
        <f t="shared" si="12"/>
        <v>CoreJob(ST)-PositionOU(CSOD)Active</v>
      </c>
      <c r="O336">
        <f t="shared" si="11"/>
        <v>1</v>
      </c>
      <c r="P336" t="e">
        <f>VLOOKUP(N336,'[1]Sheet1 (2)'!$L:$M,2,0)</f>
        <v>#N/A</v>
      </c>
    </row>
    <row r="337" spans="1:16" ht="48" hidden="1" x14ac:dyDescent="0.2">
      <c r="A337" s="13" t="s">
        <v>302</v>
      </c>
      <c r="B337" s="13" t="s">
        <v>387</v>
      </c>
      <c r="C337" s="13" t="s">
        <v>386</v>
      </c>
      <c r="D337" s="15" t="s">
        <v>310</v>
      </c>
      <c r="E337" s="15" t="s">
        <v>17</v>
      </c>
      <c r="F337" s="15" t="s">
        <v>18</v>
      </c>
      <c r="G337" s="15"/>
      <c r="H337" s="15">
        <v>0</v>
      </c>
      <c r="I337" s="17" t="s">
        <v>19</v>
      </c>
      <c r="J337" s="15"/>
      <c r="K337" s="15"/>
      <c r="L337" s="15"/>
      <c r="M337" s="13"/>
      <c r="N337" t="str">
        <f t="shared" si="12"/>
        <v>CoreJob(ST)-PositionOU(CSOD)Allow Reconciliation</v>
      </c>
      <c r="O337">
        <f t="shared" si="11"/>
        <v>0</v>
      </c>
      <c r="P337" t="e">
        <f>VLOOKUP(N337,'[1]Sheet1 (2)'!$L:$M,2,0)</f>
        <v>#N/A</v>
      </c>
    </row>
    <row r="338" spans="1:16" hidden="1" x14ac:dyDescent="0.2">
      <c r="A338" s="13" t="s">
        <v>302</v>
      </c>
      <c r="B338" s="13" t="s">
        <v>387</v>
      </c>
      <c r="C338" s="13" t="s">
        <v>386</v>
      </c>
      <c r="D338" s="15" t="s">
        <v>29</v>
      </c>
      <c r="E338" s="15" t="s">
        <v>17</v>
      </c>
      <c r="F338" s="15" t="s">
        <v>11</v>
      </c>
      <c r="G338" s="15">
        <v>100</v>
      </c>
      <c r="H338" s="15"/>
      <c r="I338" s="15"/>
      <c r="J338" s="15"/>
      <c r="K338" s="15"/>
      <c r="L338" s="15"/>
      <c r="M338" s="13"/>
      <c r="N338" t="str">
        <f t="shared" si="12"/>
        <v>CoreJob(ST)-PositionOU(CSOD)Parent ID</v>
      </c>
      <c r="O338" t="str">
        <f t="shared" si="11"/>
        <v/>
      </c>
      <c r="P338" t="e">
        <f>VLOOKUP(N338,'[1]Sheet1 (2)'!$L:$M,2,0)</f>
        <v>#N/A</v>
      </c>
    </row>
    <row r="339" spans="1:16" hidden="1" x14ac:dyDescent="0.2">
      <c r="A339" s="13" t="s">
        <v>302</v>
      </c>
      <c r="B339" s="13" t="s">
        <v>387</v>
      </c>
      <c r="C339" s="13" t="s">
        <v>386</v>
      </c>
      <c r="D339" s="15" t="s">
        <v>42</v>
      </c>
      <c r="E339" s="15" t="s">
        <v>17</v>
      </c>
      <c r="F339" s="15" t="s">
        <v>11</v>
      </c>
      <c r="G339" s="15">
        <v>100</v>
      </c>
      <c r="H339" s="15"/>
      <c r="I339" s="15"/>
      <c r="J339" s="15" t="s">
        <v>390</v>
      </c>
      <c r="K339" s="15" t="s">
        <v>312</v>
      </c>
      <c r="L339" s="15">
        <v>50</v>
      </c>
      <c r="M339" s="13"/>
      <c r="N339" t="str">
        <f t="shared" si="12"/>
        <v>CoreJob(ST)-PositionOU(CSOD)Owner ID</v>
      </c>
      <c r="O339" t="str">
        <f t="shared" si="11"/>
        <v/>
      </c>
      <c r="P339" t="str">
        <f>VLOOKUP(N339,'[1]Sheet1 (2)'!$L:$M,2,0)</f>
        <v/>
      </c>
    </row>
    <row r="340" spans="1:16" hidden="1" x14ac:dyDescent="0.2">
      <c r="A340" s="13" t="s">
        <v>302</v>
      </c>
      <c r="B340" s="13" t="s">
        <v>387</v>
      </c>
      <c r="C340" s="13" t="s">
        <v>386</v>
      </c>
      <c r="D340" s="15" t="s">
        <v>65</v>
      </c>
      <c r="E340" s="15" t="s">
        <v>17</v>
      </c>
      <c r="F340" s="15" t="s">
        <v>11</v>
      </c>
      <c r="G340" s="15">
        <v>4000</v>
      </c>
      <c r="H340" s="15"/>
      <c r="I340" s="15"/>
      <c r="J340" s="15" t="s">
        <v>391</v>
      </c>
      <c r="K340" s="15" t="s">
        <v>312</v>
      </c>
      <c r="L340" s="15" t="s">
        <v>313</v>
      </c>
      <c r="M340" s="13"/>
      <c r="N340" t="str">
        <f t="shared" si="12"/>
        <v>CoreJob(ST)-PositionOU(CSOD)Description</v>
      </c>
      <c r="O340" t="str">
        <f t="shared" si="11"/>
        <v/>
      </c>
      <c r="P340" t="str">
        <f>VLOOKUP(N340,'[1]Sheet1 (2)'!$L:$M,2,0)</f>
        <v/>
      </c>
    </row>
    <row r="341" spans="1:16" hidden="1" x14ac:dyDescent="0.2">
      <c r="A341" s="13" t="s">
        <v>302</v>
      </c>
      <c r="B341" s="13" t="s">
        <v>387</v>
      </c>
      <c r="C341" s="13" t="s">
        <v>386</v>
      </c>
      <c r="D341" s="15" t="s">
        <v>392</v>
      </c>
      <c r="E341" s="15" t="s">
        <v>17</v>
      </c>
      <c r="F341" s="15" t="s">
        <v>11</v>
      </c>
      <c r="G341" s="15">
        <v>100</v>
      </c>
      <c r="H341" s="15"/>
      <c r="I341" s="15"/>
      <c r="J341" s="15"/>
      <c r="K341" s="15"/>
      <c r="L341" s="15"/>
      <c r="M341" s="13"/>
      <c r="N341" t="str">
        <f t="shared" si="12"/>
        <v>CoreJob(ST)-PositionOU(CSOD)Plan Owner OU ID</v>
      </c>
      <c r="O341" t="str">
        <f t="shared" si="11"/>
        <v/>
      </c>
      <c r="P341" t="str">
        <f>VLOOKUP(N341,'[1]Sheet1 (2)'!$L:$M,2,0)</f>
        <v/>
      </c>
    </row>
    <row r="342" spans="1:16" hidden="1" x14ac:dyDescent="0.2">
      <c r="A342" s="13" t="s">
        <v>302</v>
      </c>
      <c r="B342" s="13" t="s">
        <v>395</v>
      </c>
      <c r="C342" s="13" t="s">
        <v>393</v>
      </c>
      <c r="D342" s="15" t="s">
        <v>304</v>
      </c>
      <c r="E342" s="15" t="s">
        <v>10</v>
      </c>
      <c r="F342" s="15" t="s">
        <v>11</v>
      </c>
      <c r="G342" s="15">
        <v>100</v>
      </c>
      <c r="H342" s="15"/>
      <c r="I342" s="15"/>
      <c r="J342" s="15" t="s">
        <v>317</v>
      </c>
      <c r="K342" s="15" t="s">
        <v>13</v>
      </c>
      <c r="L342" s="15">
        <v>50</v>
      </c>
      <c r="M342" s="13"/>
      <c r="N342" t="str">
        <f t="shared" si="12"/>
        <v>CoreOrganization(ST)-CostCenterOU(CSOD)OU ID*</v>
      </c>
      <c r="O342" t="str">
        <f t="shared" si="11"/>
        <v/>
      </c>
      <c r="P342" t="e">
        <f>VLOOKUP(N342,'[1]Sheet1 (2)'!$L:$M,2,0)</f>
        <v>#N/A</v>
      </c>
    </row>
    <row r="343" spans="1:16" hidden="1" x14ac:dyDescent="0.2">
      <c r="A343" s="13" t="s">
        <v>302</v>
      </c>
      <c r="B343" s="13" t="s">
        <v>395</v>
      </c>
      <c r="C343" s="13" t="s">
        <v>393</v>
      </c>
      <c r="D343" s="15" t="s">
        <v>306</v>
      </c>
      <c r="E343" s="15" t="s">
        <v>10</v>
      </c>
      <c r="F343" s="15" t="s">
        <v>11</v>
      </c>
      <c r="G343" s="15">
        <v>1000</v>
      </c>
      <c r="H343" s="15"/>
      <c r="I343" s="15"/>
      <c r="J343" s="15" t="s">
        <v>318</v>
      </c>
      <c r="K343" s="15" t="s">
        <v>13</v>
      </c>
      <c r="L343" s="15">
        <v>255</v>
      </c>
      <c r="M343" s="13"/>
      <c r="N343" t="str">
        <f t="shared" si="12"/>
        <v>CoreOrganization(ST)-CostCenterOU(CSOD)OU Name*</v>
      </c>
      <c r="O343" t="str">
        <f t="shared" si="11"/>
        <v/>
      </c>
      <c r="P343" t="e">
        <f>VLOOKUP(N343,'[1]Sheet1 (2)'!$L:$M,2,0)</f>
        <v>#N/A</v>
      </c>
    </row>
    <row r="344" spans="1:16" ht="48" hidden="1" x14ac:dyDescent="0.2">
      <c r="A344" s="13" t="s">
        <v>302</v>
      </c>
      <c r="B344" s="13" t="s">
        <v>395</v>
      </c>
      <c r="C344" s="13" t="s">
        <v>393</v>
      </c>
      <c r="D344" s="15" t="s">
        <v>16</v>
      </c>
      <c r="E344" s="15" t="s">
        <v>17</v>
      </c>
      <c r="F344" s="15" t="s">
        <v>18</v>
      </c>
      <c r="G344" s="15"/>
      <c r="H344" s="15">
        <v>1</v>
      </c>
      <c r="I344" s="17" t="s">
        <v>19</v>
      </c>
      <c r="J344" s="15"/>
      <c r="K344" s="15"/>
      <c r="L344" s="15"/>
      <c r="M344" s="13"/>
      <c r="N344" t="str">
        <f t="shared" si="12"/>
        <v>CoreOrganization(ST)-CostCenterOU(CSOD)Active</v>
      </c>
      <c r="O344">
        <f t="shared" si="11"/>
        <v>1</v>
      </c>
      <c r="P344" t="e">
        <f>VLOOKUP(N344,'[1]Sheet1 (2)'!$L:$M,2,0)</f>
        <v>#N/A</v>
      </c>
    </row>
    <row r="345" spans="1:16" ht="48" hidden="1" x14ac:dyDescent="0.2">
      <c r="A345" s="13" t="s">
        <v>302</v>
      </c>
      <c r="B345" s="13" t="s">
        <v>395</v>
      </c>
      <c r="C345" s="13" t="s">
        <v>393</v>
      </c>
      <c r="D345" s="15" t="s">
        <v>310</v>
      </c>
      <c r="E345" s="15" t="s">
        <v>17</v>
      </c>
      <c r="F345" s="15" t="s">
        <v>18</v>
      </c>
      <c r="G345" s="15"/>
      <c r="H345" s="15">
        <v>0</v>
      </c>
      <c r="I345" s="17" t="s">
        <v>19</v>
      </c>
      <c r="J345" s="15"/>
      <c r="K345" s="15"/>
      <c r="L345" s="15"/>
      <c r="M345" s="13"/>
      <c r="N345" t="str">
        <f t="shared" si="12"/>
        <v>CoreOrganization(ST)-CostCenterOU(CSOD)Allow Reconciliation</v>
      </c>
      <c r="O345">
        <f t="shared" si="11"/>
        <v>0</v>
      </c>
      <c r="P345" t="e">
        <f>VLOOKUP(N345,'[1]Sheet1 (2)'!$L:$M,2,0)</f>
        <v>#N/A</v>
      </c>
    </row>
    <row r="346" spans="1:16" hidden="1" x14ac:dyDescent="0.2">
      <c r="A346" s="13" t="s">
        <v>302</v>
      </c>
      <c r="B346" s="13" t="s">
        <v>395</v>
      </c>
      <c r="C346" s="13" t="s">
        <v>393</v>
      </c>
      <c r="D346" s="15" t="s">
        <v>29</v>
      </c>
      <c r="E346" s="15" t="s">
        <v>17</v>
      </c>
      <c r="F346" s="15" t="s">
        <v>11</v>
      </c>
      <c r="G346" s="15">
        <v>100</v>
      </c>
      <c r="H346" s="15"/>
      <c r="I346" s="15"/>
      <c r="J346" s="15" t="s">
        <v>319</v>
      </c>
      <c r="K346" s="15" t="s">
        <v>13</v>
      </c>
      <c r="L346" s="15">
        <v>50</v>
      </c>
      <c r="M346" s="13"/>
      <c r="N346" t="str">
        <f t="shared" si="12"/>
        <v>CoreOrganization(ST)-CostCenterOU(CSOD)Parent ID</v>
      </c>
      <c r="O346" t="str">
        <f t="shared" si="11"/>
        <v/>
      </c>
      <c r="P346" t="e">
        <f>VLOOKUP(N346,'[1]Sheet1 (2)'!$L:$M,2,0)</f>
        <v>#N/A</v>
      </c>
    </row>
    <row r="347" spans="1:16" hidden="1" x14ac:dyDescent="0.2">
      <c r="A347" s="13" t="s">
        <v>302</v>
      </c>
      <c r="B347" s="13" t="s">
        <v>395</v>
      </c>
      <c r="C347" s="13" t="s">
        <v>393</v>
      </c>
      <c r="D347" s="15" t="s">
        <v>42</v>
      </c>
      <c r="E347" s="15" t="s">
        <v>17</v>
      </c>
      <c r="F347" s="15" t="s">
        <v>11</v>
      </c>
      <c r="G347" s="15">
        <v>100</v>
      </c>
      <c r="H347" s="15"/>
      <c r="I347" s="15"/>
      <c r="J347" s="15" t="s">
        <v>320</v>
      </c>
      <c r="K347" s="15" t="s">
        <v>13</v>
      </c>
      <c r="L347" s="15">
        <v>50</v>
      </c>
      <c r="M347" s="13"/>
      <c r="N347" t="str">
        <f t="shared" si="12"/>
        <v>CoreOrganization(ST)-CostCenterOU(CSOD)Owner ID</v>
      </c>
      <c r="O347" t="str">
        <f t="shared" si="11"/>
        <v/>
      </c>
      <c r="P347" t="e">
        <f>VLOOKUP(N347,'[1]Sheet1 (2)'!$L:$M,2,0)</f>
        <v>#N/A</v>
      </c>
    </row>
    <row r="348" spans="1:16" hidden="1" x14ac:dyDescent="0.2">
      <c r="A348" s="13" t="s">
        <v>302</v>
      </c>
      <c r="B348" s="13" t="s">
        <v>395</v>
      </c>
      <c r="C348" s="13" t="s">
        <v>393</v>
      </c>
      <c r="D348" s="15" t="s">
        <v>65</v>
      </c>
      <c r="E348" s="15" t="s">
        <v>17</v>
      </c>
      <c r="F348" s="15" t="s">
        <v>11</v>
      </c>
      <c r="G348" s="15">
        <v>4000</v>
      </c>
      <c r="H348" s="15"/>
      <c r="I348" s="15"/>
      <c r="J348" s="15" t="s">
        <v>321</v>
      </c>
      <c r="K348" s="15" t="s">
        <v>312</v>
      </c>
      <c r="L348" s="15" t="s">
        <v>313</v>
      </c>
      <c r="M348" s="13"/>
      <c r="N348" t="str">
        <f t="shared" si="12"/>
        <v>CoreOrganization(ST)-CostCenterOU(CSOD)Description</v>
      </c>
      <c r="O348" t="str">
        <f t="shared" si="11"/>
        <v/>
      </c>
      <c r="P348" t="e">
        <f>VLOOKUP(N348,'[1]Sheet1 (2)'!$L:$M,2,0)</f>
        <v>#N/A</v>
      </c>
    </row>
    <row r="349" spans="1:16" hidden="1" x14ac:dyDescent="0.2">
      <c r="A349" s="13" t="s">
        <v>302</v>
      </c>
      <c r="B349" s="13" t="s">
        <v>395</v>
      </c>
      <c r="C349" s="13" t="s">
        <v>393</v>
      </c>
      <c r="D349" s="15" t="s">
        <v>394</v>
      </c>
      <c r="E349" s="15" t="s">
        <v>17</v>
      </c>
      <c r="F349" s="15" t="s">
        <v>11</v>
      </c>
      <c r="G349" s="15">
        <v>128</v>
      </c>
      <c r="H349" s="15"/>
      <c r="I349" s="15"/>
      <c r="J349" s="15"/>
      <c r="K349" s="15"/>
      <c r="L349" s="15"/>
      <c r="M349" s="13"/>
      <c r="N349" t="str">
        <f t="shared" si="12"/>
        <v>CoreOrganization(ST)-CostCenterOU(CSOD)Approver ID</v>
      </c>
      <c r="O349" t="str">
        <f t="shared" si="11"/>
        <v/>
      </c>
      <c r="P349" t="str">
        <f>VLOOKUP(N349,'[1]Sheet1 (2)'!$L:$M,2,0)</f>
        <v/>
      </c>
    </row>
    <row r="350" spans="1:16" hidden="1" x14ac:dyDescent="0.2">
      <c r="A350" s="13" t="s">
        <v>302</v>
      </c>
      <c r="B350" s="13" t="s">
        <v>44</v>
      </c>
      <c r="C350" s="13" t="s">
        <v>43</v>
      </c>
      <c r="D350" s="15" t="s">
        <v>9</v>
      </c>
      <c r="E350" s="15" t="s">
        <v>10</v>
      </c>
      <c r="F350" s="15" t="s">
        <v>11</v>
      </c>
      <c r="G350" s="15">
        <v>100</v>
      </c>
      <c r="H350" s="15"/>
      <c r="I350" s="15"/>
      <c r="J350" s="15" t="s">
        <v>12</v>
      </c>
      <c r="K350" s="15" t="s">
        <v>13</v>
      </c>
      <c r="L350" s="15">
        <v>255</v>
      </c>
      <c r="M350" s="15"/>
      <c r="N350" t="str">
        <f t="shared" si="12"/>
        <v>CoreFacility_Location(ST)-Facility(CSOD)Facility Id*</v>
      </c>
      <c r="O350" t="str">
        <f t="shared" si="11"/>
        <v/>
      </c>
      <c r="P350" t="e">
        <f>VLOOKUP(N350,'[1]Sheet1 (2)'!$L:$M,2,0)</f>
        <v>#N/A</v>
      </c>
    </row>
    <row r="351" spans="1:16" hidden="1" x14ac:dyDescent="0.2">
      <c r="A351" s="13" t="s">
        <v>302</v>
      </c>
      <c r="B351" s="13" t="s">
        <v>44</v>
      </c>
      <c r="C351" s="13" t="s">
        <v>43</v>
      </c>
      <c r="D351" s="15" t="s">
        <v>14</v>
      </c>
      <c r="E351" s="15" t="s">
        <v>10</v>
      </c>
      <c r="F351" s="15" t="s">
        <v>11</v>
      </c>
      <c r="G351" s="15">
        <v>1000</v>
      </c>
      <c r="H351" s="15"/>
      <c r="I351" s="15"/>
      <c r="J351" s="15" t="s">
        <v>15</v>
      </c>
      <c r="K351" s="15" t="s">
        <v>13</v>
      </c>
      <c r="L351" s="15">
        <v>255</v>
      </c>
      <c r="M351" s="15"/>
      <c r="N351" t="str">
        <f t="shared" si="12"/>
        <v>CoreFacility_Location(ST)-Facility(CSOD)Facility Name*</v>
      </c>
      <c r="O351" t="str">
        <f t="shared" si="11"/>
        <v/>
      </c>
      <c r="P351" t="e">
        <f>VLOOKUP(N351,'[1]Sheet1 (2)'!$L:$M,2,0)</f>
        <v>#N/A</v>
      </c>
    </row>
    <row r="352" spans="1:16" ht="48" hidden="1" x14ac:dyDescent="0.2">
      <c r="A352" s="13" t="s">
        <v>302</v>
      </c>
      <c r="B352" s="13" t="s">
        <v>44</v>
      </c>
      <c r="C352" s="13" t="s">
        <v>43</v>
      </c>
      <c r="D352" s="15" t="s">
        <v>16</v>
      </c>
      <c r="E352" s="15" t="s">
        <v>17</v>
      </c>
      <c r="F352" s="15" t="s">
        <v>18</v>
      </c>
      <c r="G352" s="15"/>
      <c r="H352" s="15" t="b">
        <v>0</v>
      </c>
      <c r="I352" s="17" t="s">
        <v>19</v>
      </c>
      <c r="J352" s="15"/>
      <c r="K352" s="15"/>
      <c r="L352" s="15"/>
      <c r="M352" s="15"/>
      <c r="N352" t="str">
        <f t="shared" si="12"/>
        <v>CoreFacility_Location(ST)-Facility(CSOD)Active</v>
      </c>
      <c r="O352" t="b">
        <f t="shared" si="11"/>
        <v>0</v>
      </c>
      <c r="P352" t="e">
        <f>VLOOKUP(N352,'[1]Sheet1 (2)'!$L:$M,2,0)</f>
        <v>#N/A</v>
      </c>
    </row>
    <row r="353" spans="1:16" hidden="1" x14ac:dyDescent="0.2">
      <c r="A353" s="13" t="s">
        <v>302</v>
      </c>
      <c r="B353" s="13" t="s">
        <v>44</v>
      </c>
      <c r="C353" s="13" t="s">
        <v>43</v>
      </c>
      <c r="D353" s="15" t="s">
        <v>20</v>
      </c>
      <c r="E353" s="15" t="s">
        <v>10</v>
      </c>
      <c r="F353" s="15" t="s">
        <v>11</v>
      </c>
      <c r="G353" s="15"/>
      <c r="H353" s="15"/>
      <c r="I353" s="15"/>
      <c r="J353" s="15" t="s">
        <v>21</v>
      </c>
      <c r="K353" s="15"/>
      <c r="L353" s="15"/>
      <c r="M353" s="15"/>
      <c r="N353" t="str">
        <f t="shared" si="12"/>
        <v>CoreFacility_Location(ST)-Facility(CSOD)Facility Type*</v>
      </c>
      <c r="O353" t="str">
        <f t="shared" si="11"/>
        <v/>
      </c>
      <c r="P353" t="e">
        <f>VLOOKUP(N353,'[1]Sheet1 (2)'!$L:$M,2,0)</f>
        <v>#N/A</v>
      </c>
    </row>
    <row r="354" spans="1:16" hidden="1" x14ac:dyDescent="0.2">
      <c r="A354" s="13" t="s">
        <v>302</v>
      </c>
      <c r="B354" s="13" t="s">
        <v>44</v>
      </c>
      <c r="C354" s="13" t="s">
        <v>43</v>
      </c>
      <c r="D354" s="15" t="s">
        <v>22</v>
      </c>
      <c r="E354" s="15" t="s">
        <v>10</v>
      </c>
      <c r="F354" s="15" t="s">
        <v>11</v>
      </c>
      <c r="G354" s="15"/>
      <c r="H354" s="15"/>
      <c r="I354" s="15"/>
      <c r="J354" s="15" t="s">
        <v>23</v>
      </c>
      <c r="K354" s="15" t="s">
        <v>13</v>
      </c>
      <c r="L354" s="15"/>
      <c r="M354" s="15"/>
      <c r="N354" t="str">
        <f t="shared" si="12"/>
        <v>CoreFacility_Location(ST)-Facility(CSOD)Time Zone ID*</v>
      </c>
      <c r="O354" t="str">
        <f t="shared" si="11"/>
        <v/>
      </c>
      <c r="P354" t="e">
        <f>VLOOKUP(N354,'[1]Sheet1 (2)'!$L:$M,2,0)</f>
        <v>#N/A</v>
      </c>
    </row>
    <row r="355" spans="1:16" ht="48" hidden="1" x14ac:dyDescent="0.2">
      <c r="A355" s="13" t="s">
        <v>302</v>
      </c>
      <c r="B355" s="13" t="s">
        <v>44</v>
      </c>
      <c r="C355" s="13" t="s">
        <v>43</v>
      </c>
      <c r="D355" s="15" t="s">
        <v>24</v>
      </c>
      <c r="E355" s="15" t="s">
        <v>17</v>
      </c>
      <c r="F355" s="15" t="s">
        <v>18</v>
      </c>
      <c r="G355" s="15"/>
      <c r="H355" s="15" t="b">
        <v>0</v>
      </c>
      <c r="I355" s="17" t="s">
        <v>19</v>
      </c>
      <c r="J355" s="15" t="s">
        <v>24</v>
      </c>
      <c r="K355" s="15" t="s">
        <v>25</v>
      </c>
      <c r="L355" s="15"/>
      <c r="M355" s="15" t="s">
        <v>26</v>
      </c>
      <c r="N355" t="str">
        <f t="shared" si="12"/>
        <v>CoreFacility_Location(ST)-Facility(CSOD)Approval Required</v>
      </c>
      <c r="O355" t="b">
        <f t="shared" si="11"/>
        <v>0</v>
      </c>
      <c r="P355" t="e">
        <f>VLOOKUP(N355,'[1]Sheet1 (2)'!$L:$M,2,0)</f>
        <v>#N/A</v>
      </c>
    </row>
    <row r="356" spans="1:16" ht="48" hidden="1" x14ac:dyDescent="0.2">
      <c r="A356" s="13" t="s">
        <v>302</v>
      </c>
      <c r="B356" s="13" t="s">
        <v>44</v>
      </c>
      <c r="C356" s="13" t="s">
        <v>43</v>
      </c>
      <c r="D356" s="15" t="s">
        <v>27</v>
      </c>
      <c r="E356" s="15" t="s">
        <v>17</v>
      </c>
      <c r="F356" s="15" t="s">
        <v>18</v>
      </c>
      <c r="G356" s="15"/>
      <c r="H356" s="15" t="b">
        <v>1</v>
      </c>
      <c r="I356" s="17" t="s">
        <v>19</v>
      </c>
      <c r="J356" s="15"/>
      <c r="K356" s="15"/>
      <c r="L356" s="15"/>
      <c r="M356" s="15"/>
      <c r="N356" t="str">
        <f t="shared" si="12"/>
        <v>CoreFacility_Location(ST)-Facility(CSOD)On site</v>
      </c>
      <c r="O356" t="b">
        <f t="shared" si="11"/>
        <v>1</v>
      </c>
      <c r="P356" t="e">
        <f>VLOOKUP(N356,'[1]Sheet1 (2)'!$L:$M,2,0)</f>
        <v>#N/A</v>
      </c>
    </row>
    <row r="357" spans="1:16" ht="48" hidden="1" x14ac:dyDescent="0.2">
      <c r="A357" s="13" t="s">
        <v>302</v>
      </c>
      <c r="B357" s="13" t="s">
        <v>44</v>
      </c>
      <c r="C357" s="13" t="s">
        <v>43</v>
      </c>
      <c r="D357" s="15" t="s">
        <v>28</v>
      </c>
      <c r="E357" s="15" t="s">
        <v>17</v>
      </c>
      <c r="F357" s="15" t="s">
        <v>18</v>
      </c>
      <c r="G357" s="15"/>
      <c r="H357" s="15" t="b">
        <v>0</v>
      </c>
      <c r="I357" s="17" t="s">
        <v>19</v>
      </c>
      <c r="J357" s="15"/>
      <c r="K357" s="15"/>
      <c r="L357" s="15"/>
      <c r="M357" s="15"/>
      <c r="N357" t="str">
        <f t="shared" si="12"/>
        <v>CoreFacility_Location(ST)-Facility(CSOD)Allow Reconcile</v>
      </c>
      <c r="O357" t="b">
        <f t="shared" si="11"/>
        <v>0</v>
      </c>
      <c r="P357" t="e">
        <f>VLOOKUP(N357,'[1]Sheet1 (2)'!$L:$M,2,0)</f>
        <v>#N/A</v>
      </c>
    </row>
    <row r="358" spans="1:16" hidden="1" x14ac:dyDescent="0.2">
      <c r="A358" s="13" t="s">
        <v>302</v>
      </c>
      <c r="B358" s="13" t="s">
        <v>44</v>
      </c>
      <c r="C358" s="13" t="s">
        <v>43</v>
      </c>
      <c r="D358" s="15" t="s">
        <v>29</v>
      </c>
      <c r="E358" s="15" t="s">
        <v>17</v>
      </c>
      <c r="F358" s="15" t="s">
        <v>11</v>
      </c>
      <c r="G358" s="15">
        <v>100</v>
      </c>
      <c r="H358" s="15"/>
      <c r="I358" s="15"/>
      <c r="J358" s="15"/>
      <c r="K358" s="15"/>
      <c r="L358" s="15"/>
      <c r="M358" s="15"/>
      <c r="N358" t="str">
        <f t="shared" si="12"/>
        <v>CoreFacility_Location(ST)-Facility(CSOD)Parent ID</v>
      </c>
      <c r="O358" t="str">
        <f t="shared" si="11"/>
        <v/>
      </c>
      <c r="P358" t="e">
        <f>VLOOKUP(N358,'[1]Sheet1 (2)'!$L:$M,2,0)</f>
        <v>#N/A</v>
      </c>
    </row>
    <row r="359" spans="1:16" hidden="1" x14ac:dyDescent="0.2">
      <c r="A359" s="13" t="s">
        <v>302</v>
      </c>
      <c r="B359" s="13" t="s">
        <v>44</v>
      </c>
      <c r="C359" s="13" t="s">
        <v>43</v>
      </c>
      <c r="D359" s="15" t="s">
        <v>30</v>
      </c>
      <c r="E359" s="15" t="s">
        <v>17</v>
      </c>
      <c r="F359" s="15" t="s">
        <v>11</v>
      </c>
      <c r="G359" s="15">
        <v>55</v>
      </c>
      <c r="H359" s="15"/>
      <c r="I359" s="15"/>
      <c r="J359" s="15" t="s">
        <v>30</v>
      </c>
      <c r="K359" s="15" t="s">
        <v>13</v>
      </c>
      <c r="L359" s="15">
        <v>50</v>
      </c>
      <c r="M359" s="15"/>
      <c r="N359" t="str">
        <f t="shared" si="12"/>
        <v>CoreFacility_Location(ST)-Facility(CSOD)Address 1</v>
      </c>
      <c r="O359" t="str">
        <f t="shared" si="11"/>
        <v/>
      </c>
      <c r="P359" t="e">
        <f>VLOOKUP(N359,'[1]Sheet1 (2)'!$L:$M,2,0)</f>
        <v>#N/A</v>
      </c>
    </row>
    <row r="360" spans="1:16" hidden="1" x14ac:dyDescent="0.2">
      <c r="A360" s="13" t="s">
        <v>302</v>
      </c>
      <c r="B360" s="13" t="s">
        <v>44</v>
      </c>
      <c r="C360" s="13" t="s">
        <v>43</v>
      </c>
      <c r="D360" s="15" t="s">
        <v>31</v>
      </c>
      <c r="E360" s="15" t="s">
        <v>17</v>
      </c>
      <c r="F360" s="15" t="s">
        <v>11</v>
      </c>
      <c r="G360" s="15">
        <v>55</v>
      </c>
      <c r="H360" s="15"/>
      <c r="I360" s="15"/>
      <c r="J360" s="15" t="s">
        <v>31</v>
      </c>
      <c r="K360" s="15" t="s">
        <v>13</v>
      </c>
      <c r="L360" s="15">
        <v>50</v>
      </c>
      <c r="M360" s="15"/>
      <c r="N360" t="str">
        <f t="shared" si="12"/>
        <v>CoreFacility_Location(ST)-Facility(CSOD)Address 2</v>
      </c>
      <c r="O360" t="str">
        <f t="shared" si="11"/>
        <v/>
      </c>
      <c r="P360" t="e">
        <f>VLOOKUP(N360,'[1]Sheet1 (2)'!$L:$M,2,0)</f>
        <v>#N/A</v>
      </c>
    </row>
    <row r="361" spans="1:16" hidden="1" x14ac:dyDescent="0.2">
      <c r="A361" s="13" t="s">
        <v>302</v>
      </c>
      <c r="B361" s="13" t="s">
        <v>44</v>
      </c>
      <c r="C361" s="13" t="s">
        <v>43</v>
      </c>
      <c r="D361" s="15" t="s">
        <v>32</v>
      </c>
      <c r="E361" s="15" t="s">
        <v>17</v>
      </c>
      <c r="F361" s="15" t="s">
        <v>11</v>
      </c>
      <c r="G361" s="15">
        <v>35</v>
      </c>
      <c r="H361" s="15"/>
      <c r="I361" s="15"/>
      <c r="J361" s="15" t="s">
        <v>32</v>
      </c>
      <c r="K361" s="15" t="s">
        <v>13</v>
      </c>
      <c r="L361" s="15">
        <v>30</v>
      </c>
      <c r="M361" s="15"/>
      <c r="N361" t="str">
        <f t="shared" si="12"/>
        <v>CoreFacility_Location(ST)-Facility(CSOD)City</v>
      </c>
      <c r="O361" t="str">
        <f t="shared" si="11"/>
        <v/>
      </c>
      <c r="P361" t="e">
        <f>VLOOKUP(N361,'[1]Sheet1 (2)'!$L:$M,2,0)</f>
        <v>#N/A</v>
      </c>
    </row>
    <row r="362" spans="1:16" hidden="1" x14ac:dyDescent="0.2">
      <c r="A362" s="13" t="s">
        <v>302</v>
      </c>
      <c r="B362" s="13" t="s">
        <v>44</v>
      </c>
      <c r="C362" s="13" t="s">
        <v>43</v>
      </c>
      <c r="D362" s="15" t="s">
        <v>33</v>
      </c>
      <c r="E362" s="15" t="s">
        <v>17</v>
      </c>
      <c r="F362" s="15" t="s">
        <v>11</v>
      </c>
      <c r="G362" s="15">
        <v>30</v>
      </c>
      <c r="H362" s="15"/>
      <c r="I362" s="15"/>
      <c r="J362" s="15" t="s">
        <v>33</v>
      </c>
      <c r="K362" s="15" t="s">
        <v>13</v>
      </c>
      <c r="L362" s="15">
        <v>35</v>
      </c>
      <c r="M362" s="15"/>
      <c r="N362" t="str">
        <f t="shared" si="12"/>
        <v>CoreFacility_Location(ST)-Facility(CSOD)State</v>
      </c>
      <c r="O362" t="str">
        <f t="shared" si="11"/>
        <v/>
      </c>
      <c r="P362" t="e">
        <f>VLOOKUP(N362,'[1]Sheet1 (2)'!$L:$M,2,0)</f>
        <v>#N/A</v>
      </c>
    </row>
    <row r="363" spans="1:16" hidden="1" x14ac:dyDescent="0.2">
      <c r="A363" s="13" t="s">
        <v>302</v>
      </c>
      <c r="B363" s="13" t="s">
        <v>44</v>
      </c>
      <c r="C363" s="13" t="s">
        <v>43</v>
      </c>
      <c r="D363" s="15" t="s">
        <v>34</v>
      </c>
      <c r="E363" s="15" t="s">
        <v>17</v>
      </c>
      <c r="F363" s="15" t="s">
        <v>11</v>
      </c>
      <c r="G363" s="15">
        <v>20</v>
      </c>
      <c r="H363" s="15"/>
      <c r="I363" s="15"/>
      <c r="J363" s="15" t="s">
        <v>34</v>
      </c>
      <c r="K363" s="15" t="s">
        <v>13</v>
      </c>
      <c r="L363" s="15">
        <v>20</v>
      </c>
      <c r="M363" s="15"/>
      <c r="N363" t="str">
        <f t="shared" si="12"/>
        <v>CoreFacility_Location(ST)-Facility(CSOD)Zip</v>
      </c>
      <c r="O363" t="str">
        <f t="shared" si="11"/>
        <v/>
      </c>
      <c r="P363" t="e">
        <f>VLOOKUP(N363,'[1]Sheet1 (2)'!$L:$M,2,0)</f>
        <v>#N/A</v>
      </c>
    </row>
    <row r="364" spans="1:16" hidden="1" x14ac:dyDescent="0.2">
      <c r="A364" s="13" t="s">
        <v>302</v>
      </c>
      <c r="B364" s="13" t="s">
        <v>44</v>
      </c>
      <c r="C364" s="13" t="s">
        <v>43</v>
      </c>
      <c r="D364" s="15" t="s">
        <v>35</v>
      </c>
      <c r="E364" s="15" t="s">
        <v>17</v>
      </c>
      <c r="F364" s="15" t="s">
        <v>11</v>
      </c>
      <c r="G364" s="15"/>
      <c r="H364" s="15"/>
      <c r="I364" s="15"/>
      <c r="J364" s="15" t="s">
        <v>35</v>
      </c>
      <c r="K364" s="15" t="s">
        <v>13</v>
      </c>
      <c r="L364" s="15">
        <v>35</v>
      </c>
      <c r="M364" s="15"/>
      <c r="N364" t="str">
        <f t="shared" si="12"/>
        <v>CoreFacility_Location(ST)-Facility(CSOD)Country</v>
      </c>
      <c r="O364" t="str">
        <f t="shared" si="11"/>
        <v/>
      </c>
      <c r="P364" t="e">
        <f>VLOOKUP(N364,'[1]Sheet1 (2)'!$L:$M,2,0)</f>
        <v>#N/A</v>
      </c>
    </row>
    <row r="365" spans="1:16" hidden="1" x14ac:dyDescent="0.2">
      <c r="A365" s="13" t="s">
        <v>302</v>
      </c>
      <c r="B365" s="13" t="s">
        <v>44</v>
      </c>
      <c r="C365" s="13" t="s">
        <v>43</v>
      </c>
      <c r="D365" s="15" t="s">
        <v>36</v>
      </c>
      <c r="E365" s="15" t="s">
        <v>17</v>
      </c>
      <c r="F365" s="15" t="s">
        <v>11</v>
      </c>
      <c r="G365" s="15">
        <v>50</v>
      </c>
      <c r="H365" s="15"/>
      <c r="I365" s="15"/>
      <c r="J365" s="15" t="s">
        <v>36</v>
      </c>
      <c r="K365" s="15" t="s">
        <v>13</v>
      </c>
      <c r="L365" s="15">
        <v>256</v>
      </c>
      <c r="M365" s="15"/>
      <c r="N365" t="str">
        <f t="shared" si="12"/>
        <v>CoreFacility_Location(ST)-Facility(CSOD)Contact</v>
      </c>
      <c r="O365" t="str">
        <f t="shared" si="11"/>
        <v/>
      </c>
      <c r="P365" t="e">
        <f>VLOOKUP(N365,'[1]Sheet1 (2)'!$L:$M,2,0)</f>
        <v>#N/A</v>
      </c>
    </row>
    <row r="366" spans="1:16" hidden="1" x14ac:dyDescent="0.2">
      <c r="A366" s="13" t="s">
        <v>302</v>
      </c>
      <c r="B366" s="13" t="s">
        <v>44</v>
      </c>
      <c r="C366" s="13" t="s">
        <v>43</v>
      </c>
      <c r="D366" s="15" t="s">
        <v>37</v>
      </c>
      <c r="E366" s="15" t="s">
        <v>17</v>
      </c>
      <c r="F366" s="15" t="s">
        <v>11</v>
      </c>
      <c r="G366" s="15">
        <v>25</v>
      </c>
      <c r="H366" s="15"/>
      <c r="I366" s="15"/>
      <c r="J366" s="15" t="s">
        <v>37</v>
      </c>
      <c r="K366" s="15" t="s">
        <v>13</v>
      </c>
      <c r="L366" s="15">
        <v>30</v>
      </c>
      <c r="M366" s="15"/>
      <c r="N366" t="str">
        <f t="shared" si="12"/>
        <v>CoreFacility_Location(ST)-Facility(CSOD)Phone</v>
      </c>
      <c r="O366" t="str">
        <f t="shared" si="11"/>
        <v/>
      </c>
      <c r="P366" t="e">
        <f>VLOOKUP(N366,'[1]Sheet1 (2)'!$L:$M,2,0)</f>
        <v>#N/A</v>
      </c>
    </row>
    <row r="367" spans="1:16" hidden="1" x14ac:dyDescent="0.2">
      <c r="A367" s="13" t="s">
        <v>302</v>
      </c>
      <c r="B367" s="13" t="s">
        <v>44</v>
      </c>
      <c r="C367" s="13" t="s">
        <v>43</v>
      </c>
      <c r="D367" s="15" t="s">
        <v>38</v>
      </c>
      <c r="E367" s="15" t="s">
        <v>17</v>
      </c>
      <c r="F367" s="15" t="s">
        <v>11</v>
      </c>
      <c r="G367" s="15">
        <v>25</v>
      </c>
      <c r="H367" s="15"/>
      <c r="I367" s="15"/>
      <c r="J367" s="15" t="s">
        <v>38</v>
      </c>
      <c r="K367" s="15" t="s">
        <v>13</v>
      </c>
      <c r="L367" s="15">
        <v>30</v>
      </c>
      <c r="M367" s="15"/>
      <c r="N367" t="str">
        <f t="shared" si="12"/>
        <v>CoreFacility_Location(ST)-Facility(CSOD)Fax</v>
      </c>
      <c r="O367" t="str">
        <f t="shared" si="11"/>
        <v/>
      </c>
      <c r="P367" t="e">
        <f>VLOOKUP(N367,'[1]Sheet1 (2)'!$L:$M,2,0)</f>
        <v>#N/A</v>
      </c>
    </row>
    <row r="368" spans="1:16" hidden="1" x14ac:dyDescent="0.2">
      <c r="A368" s="13" t="s">
        <v>302</v>
      </c>
      <c r="B368" s="13" t="s">
        <v>44</v>
      </c>
      <c r="C368" s="13" t="s">
        <v>43</v>
      </c>
      <c r="D368" s="15" t="s">
        <v>39</v>
      </c>
      <c r="E368" s="15" t="s">
        <v>17</v>
      </c>
      <c r="F368" s="15" t="s">
        <v>11</v>
      </c>
      <c r="G368" s="15">
        <v>128</v>
      </c>
      <c r="H368" s="15"/>
      <c r="I368" s="15"/>
      <c r="J368" s="15" t="s">
        <v>39</v>
      </c>
      <c r="K368" s="15" t="s">
        <v>13</v>
      </c>
      <c r="L368" s="15">
        <v>256</v>
      </c>
      <c r="M368" s="15"/>
      <c r="N368" t="str">
        <f t="shared" si="12"/>
        <v>CoreFacility_Location(ST)-Facility(CSOD)Facility Email</v>
      </c>
      <c r="O368" t="str">
        <f t="shared" si="11"/>
        <v/>
      </c>
      <c r="P368" t="e">
        <f>VLOOKUP(N368,'[1]Sheet1 (2)'!$L:$M,2,0)</f>
        <v>#N/A</v>
      </c>
    </row>
    <row r="369" spans="1:16" hidden="1" x14ac:dyDescent="0.2">
      <c r="A369" s="13" t="s">
        <v>302</v>
      </c>
      <c r="B369" s="13" t="s">
        <v>44</v>
      </c>
      <c r="C369" s="13" t="s">
        <v>43</v>
      </c>
      <c r="D369" s="15" t="s">
        <v>40</v>
      </c>
      <c r="E369" s="15" t="s">
        <v>17</v>
      </c>
      <c r="F369" s="15" t="s">
        <v>25</v>
      </c>
      <c r="G369" s="15">
        <v>9999</v>
      </c>
      <c r="H369" s="15">
        <v>0</v>
      </c>
      <c r="I369" s="15"/>
      <c r="J369" s="15" t="s">
        <v>40</v>
      </c>
      <c r="K369" s="15" t="s">
        <v>25</v>
      </c>
      <c r="L369" s="15"/>
      <c r="M369" s="15"/>
      <c r="N369" t="str">
        <f t="shared" si="12"/>
        <v>CoreFacility_Location(ST)-Facility(CSOD)Occupancy</v>
      </c>
      <c r="O369">
        <f t="shared" si="11"/>
        <v>0</v>
      </c>
      <c r="P369" t="e">
        <f>VLOOKUP(N369,'[1]Sheet1 (2)'!$L:$M,2,0)</f>
        <v>#N/A</v>
      </c>
    </row>
    <row r="370" spans="1:16" hidden="1" x14ac:dyDescent="0.2">
      <c r="A370" s="13" t="s">
        <v>302</v>
      </c>
      <c r="B370" s="13" t="s">
        <v>44</v>
      </c>
      <c r="C370" s="13" t="s">
        <v>43</v>
      </c>
      <c r="D370" s="15" t="s">
        <v>41</v>
      </c>
      <c r="E370" s="15" t="s">
        <v>17</v>
      </c>
      <c r="F370" s="15" t="s">
        <v>11</v>
      </c>
      <c r="G370" s="15">
        <v>128</v>
      </c>
      <c r="H370" s="15"/>
      <c r="I370" s="15"/>
      <c r="J370" s="15"/>
      <c r="K370" s="15"/>
      <c r="L370" s="15"/>
      <c r="M370" s="15"/>
      <c r="N370" t="str">
        <f t="shared" si="12"/>
        <v>CoreFacility_Location(ST)-Facility(CSOD)Created/Modified By</v>
      </c>
      <c r="O370" t="str">
        <f t="shared" si="11"/>
        <v/>
      </c>
      <c r="P370" t="e">
        <f>VLOOKUP(N370,'[1]Sheet1 (2)'!$L:$M,2,0)</f>
        <v>#N/A</v>
      </c>
    </row>
    <row r="371" spans="1:16" hidden="1" x14ac:dyDescent="0.2">
      <c r="A371" s="13" t="s">
        <v>302</v>
      </c>
      <c r="B371" s="13" t="s">
        <v>44</v>
      </c>
      <c r="C371" s="13" t="s">
        <v>43</v>
      </c>
      <c r="D371" s="15" t="s">
        <v>42</v>
      </c>
      <c r="E371" s="15" t="s">
        <v>17</v>
      </c>
      <c r="F371" s="15" t="s">
        <v>11</v>
      </c>
      <c r="G371" s="15">
        <v>128</v>
      </c>
      <c r="H371" s="15"/>
      <c r="I371" s="15"/>
      <c r="J371" s="15"/>
      <c r="K371" s="15"/>
      <c r="L371" s="15"/>
      <c r="M371" s="15"/>
      <c r="N371" t="str">
        <f t="shared" si="12"/>
        <v>CoreFacility_Location(ST)-Facility(CSOD)Owner ID</v>
      </c>
      <c r="O371" t="str">
        <f t="shared" si="11"/>
        <v/>
      </c>
      <c r="P371" t="e">
        <f>VLOOKUP(N371,'[1]Sheet1 (2)'!$L:$M,2,0)</f>
        <v>#N/A</v>
      </c>
    </row>
    <row r="372" spans="1:16" hidden="1" x14ac:dyDescent="0.2">
      <c r="A372" s="13" t="s">
        <v>410</v>
      </c>
      <c r="B372" s="13" t="s">
        <v>154</v>
      </c>
      <c r="C372" s="13" t="s">
        <v>396</v>
      </c>
      <c r="D372" s="14" t="s">
        <v>397</v>
      </c>
      <c r="E372" s="15" t="s">
        <v>10</v>
      </c>
      <c r="F372" s="15" t="s">
        <v>11</v>
      </c>
      <c r="G372" s="15">
        <v>50</v>
      </c>
      <c r="H372" s="15"/>
      <c r="I372" s="15"/>
      <c r="J372" s="15" t="s">
        <v>398</v>
      </c>
      <c r="K372" s="15" t="s">
        <v>64</v>
      </c>
      <c r="L372" s="15">
        <v>50</v>
      </c>
      <c r="M372" s="15"/>
      <c r="N372" t="str">
        <f t="shared" si="12"/>
        <v>PrerequisitesInstructor(ST)-Instructor(CSOD)Instructor ID*</v>
      </c>
      <c r="O372" t="str">
        <f t="shared" si="11"/>
        <v/>
      </c>
      <c r="P372" t="str">
        <f>VLOOKUP(N372,'[1]Sheet1 (2)'!$L:$M,2,0)</f>
        <v/>
      </c>
    </row>
    <row r="373" spans="1:16" hidden="1" x14ac:dyDescent="0.2">
      <c r="A373" s="13" t="s">
        <v>410</v>
      </c>
      <c r="B373" s="13" t="s">
        <v>154</v>
      </c>
      <c r="C373" s="13" t="s">
        <v>396</v>
      </c>
      <c r="D373" s="14" t="s">
        <v>55</v>
      </c>
      <c r="E373" s="15" t="s">
        <v>10</v>
      </c>
      <c r="F373" s="15" t="s">
        <v>11</v>
      </c>
      <c r="G373" s="15">
        <v>100</v>
      </c>
      <c r="H373" s="15"/>
      <c r="I373" s="15"/>
      <c r="J373" s="15" t="s">
        <v>399</v>
      </c>
      <c r="K373" s="15" t="s">
        <v>13</v>
      </c>
      <c r="L373" s="15">
        <v>255</v>
      </c>
      <c r="M373" s="15"/>
      <c r="N373" t="str">
        <f t="shared" si="12"/>
        <v>PrerequisitesInstructor(ST)-Instructor(CSOD)Vendor/Provider*</v>
      </c>
      <c r="O373" t="str">
        <f t="shared" si="11"/>
        <v/>
      </c>
      <c r="P373" t="str">
        <f>VLOOKUP(N373,'[1]Sheet1 (2)'!$L:$M,2,0)</f>
        <v/>
      </c>
    </row>
    <row r="374" spans="1:16" ht="48" hidden="1" x14ac:dyDescent="0.2">
      <c r="A374" s="13" t="s">
        <v>410</v>
      </c>
      <c r="B374" s="13" t="s">
        <v>154</v>
      </c>
      <c r="C374" s="13" t="s">
        <v>396</v>
      </c>
      <c r="D374" s="14" t="s">
        <v>16</v>
      </c>
      <c r="E374" s="15" t="s">
        <v>17</v>
      </c>
      <c r="F374" s="15" t="s">
        <v>18</v>
      </c>
      <c r="G374" s="15"/>
      <c r="H374" s="15" t="b">
        <v>1</v>
      </c>
      <c r="I374" s="17" t="s">
        <v>19</v>
      </c>
      <c r="J374" s="15" t="s">
        <v>400</v>
      </c>
      <c r="K374" s="15" t="s">
        <v>25</v>
      </c>
      <c r="L374" s="15"/>
      <c r="M374" s="15" t="s">
        <v>26</v>
      </c>
      <c r="N374" t="str">
        <f t="shared" si="12"/>
        <v>PrerequisitesInstructor(ST)-Instructor(CSOD)Active</v>
      </c>
      <c r="O374" t="b">
        <f t="shared" si="11"/>
        <v>1</v>
      </c>
      <c r="P374">
        <f>VLOOKUP(N374,'[1]Sheet1 (2)'!$L:$M,2,0)</f>
        <v>1</v>
      </c>
    </row>
    <row r="375" spans="1:16" hidden="1" x14ac:dyDescent="0.2">
      <c r="A375" s="13" t="s">
        <v>410</v>
      </c>
      <c r="B375" s="13" t="s">
        <v>154</v>
      </c>
      <c r="C375" s="13" t="s">
        <v>396</v>
      </c>
      <c r="D375" s="14" t="s">
        <v>401</v>
      </c>
      <c r="E375" s="15" t="s">
        <v>17</v>
      </c>
      <c r="F375" s="15" t="s">
        <v>11</v>
      </c>
      <c r="G375" s="15">
        <v>100</v>
      </c>
      <c r="H375" s="15"/>
      <c r="I375" s="15"/>
      <c r="J375" s="15"/>
      <c r="K375" s="15"/>
      <c r="L375" s="15"/>
      <c r="M375" s="15"/>
      <c r="N375" t="str">
        <f t="shared" si="12"/>
        <v>PrerequisitesInstructor(ST)-Instructor(CSOD)Home Location</v>
      </c>
      <c r="O375" t="str">
        <f t="shared" si="11"/>
        <v/>
      </c>
      <c r="P375" t="str">
        <f>VLOOKUP(N375,'[1]Sheet1 (2)'!$L:$M,2,0)</f>
        <v/>
      </c>
    </row>
    <row r="376" spans="1:16" hidden="1" x14ac:dyDescent="0.2">
      <c r="A376" s="13" t="s">
        <v>410</v>
      </c>
      <c r="B376" s="13" t="s">
        <v>154</v>
      </c>
      <c r="C376" s="13" t="s">
        <v>396</v>
      </c>
      <c r="D376" s="14" t="s">
        <v>402</v>
      </c>
      <c r="E376" s="15" t="s">
        <v>10</v>
      </c>
      <c r="F376" s="15"/>
      <c r="G376" s="15"/>
      <c r="H376" s="15" t="s">
        <v>403</v>
      </c>
      <c r="I376" s="15"/>
      <c r="J376" s="15"/>
      <c r="K376" s="15"/>
      <c r="L376" s="15"/>
      <c r="M376" s="15"/>
      <c r="N376" t="str">
        <f t="shared" si="12"/>
        <v>PrerequisitesInstructor(ST)-Instructor(CSOD)Internal/External*</v>
      </c>
      <c r="O376" t="str">
        <f t="shared" si="11"/>
        <v>Internal</v>
      </c>
      <c r="P376" t="str">
        <f>VLOOKUP(N376,'[1]Sheet1 (2)'!$L:$M,2,0)</f>
        <v>Internal</v>
      </c>
    </row>
    <row r="377" spans="1:16" hidden="1" x14ac:dyDescent="0.2">
      <c r="A377" s="13" t="s">
        <v>410</v>
      </c>
      <c r="B377" s="13" t="s">
        <v>154</v>
      </c>
      <c r="C377" s="13" t="s">
        <v>396</v>
      </c>
      <c r="D377" s="14" t="s">
        <v>404</v>
      </c>
      <c r="E377" s="15" t="s">
        <v>17</v>
      </c>
      <c r="F377" s="15" t="s">
        <v>11</v>
      </c>
      <c r="G377" s="15">
        <v>200</v>
      </c>
      <c r="H377" s="15"/>
      <c r="I377" s="15"/>
      <c r="J377" s="15"/>
      <c r="K377" s="15"/>
      <c r="L377" s="15"/>
      <c r="M377" s="15"/>
      <c r="N377" t="str">
        <f t="shared" si="12"/>
        <v>PrerequisitesInstructor(ST)-Instructor(CSOD)First Name</v>
      </c>
      <c r="O377" t="str">
        <f t="shared" si="11"/>
        <v/>
      </c>
      <c r="P377" t="str">
        <f>VLOOKUP(N377,'[1]Sheet1 (2)'!$L:$M,2,0)</f>
        <v/>
      </c>
    </row>
    <row r="378" spans="1:16" hidden="1" x14ac:dyDescent="0.2">
      <c r="A378" s="13" t="s">
        <v>410</v>
      </c>
      <c r="B378" s="13" t="s">
        <v>154</v>
      </c>
      <c r="C378" s="13" t="s">
        <v>396</v>
      </c>
      <c r="D378" s="14" t="s">
        <v>405</v>
      </c>
      <c r="E378" s="15" t="s">
        <v>17</v>
      </c>
      <c r="F378" s="15" t="s">
        <v>11</v>
      </c>
      <c r="G378" s="15">
        <v>200</v>
      </c>
      <c r="H378" s="15"/>
      <c r="I378" s="15"/>
      <c r="J378" s="15"/>
      <c r="K378" s="15"/>
      <c r="L378" s="15"/>
      <c r="M378" s="15"/>
      <c r="N378" t="str">
        <f t="shared" si="12"/>
        <v>PrerequisitesInstructor(ST)-Instructor(CSOD)Last Name</v>
      </c>
      <c r="O378" t="str">
        <f t="shared" si="11"/>
        <v/>
      </c>
      <c r="P378" t="str">
        <f>VLOOKUP(N378,'[1]Sheet1 (2)'!$L:$M,2,0)</f>
        <v/>
      </c>
    </row>
    <row r="379" spans="1:16" hidden="1" x14ac:dyDescent="0.2">
      <c r="A379" s="13" t="s">
        <v>410</v>
      </c>
      <c r="B379" s="13" t="s">
        <v>154</v>
      </c>
      <c r="C379" s="13" t="s">
        <v>396</v>
      </c>
      <c r="D379" s="14" t="s">
        <v>37</v>
      </c>
      <c r="E379" s="15" t="s">
        <v>17</v>
      </c>
      <c r="F379" s="15" t="s">
        <v>11</v>
      </c>
      <c r="G379" s="15">
        <v>50</v>
      </c>
      <c r="H379" s="15"/>
      <c r="I379" s="15"/>
      <c r="J379" s="15"/>
      <c r="K379" s="15"/>
      <c r="L379" s="15"/>
      <c r="M379" s="15"/>
      <c r="N379" t="str">
        <f t="shared" si="12"/>
        <v>PrerequisitesInstructor(ST)-Instructor(CSOD)Phone</v>
      </c>
      <c r="O379" t="str">
        <f t="shared" si="11"/>
        <v/>
      </c>
      <c r="P379" t="str">
        <f>VLOOKUP(N379,'[1]Sheet1 (2)'!$L:$M,2,0)</f>
        <v/>
      </c>
    </row>
    <row r="380" spans="1:16" hidden="1" x14ac:dyDescent="0.2">
      <c r="A380" s="13" t="s">
        <v>410</v>
      </c>
      <c r="B380" s="13" t="s">
        <v>154</v>
      </c>
      <c r="C380" s="13" t="s">
        <v>396</v>
      </c>
      <c r="D380" s="14" t="s">
        <v>38</v>
      </c>
      <c r="E380" s="15" t="s">
        <v>17</v>
      </c>
      <c r="F380" s="15" t="s">
        <v>11</v>
      </c>
      <c r="G380" s="15">
        <v>100</v>
      </c>
      <c r="H380" s="15"/>
      <c r="I380" s="15"/>
      <c r="J380" s="15"/>
      <c r="K380" s="15"/>
      <c r="L380" s="15"/>
      <c r="M380" s="15"/>
      <c r="N380" t="str">
        <f t="shared" si="12"/>
        <v>PrerequisitesInstructor(ST)-Instructor(CSOD)Fax</v>
      </c>
      <c r="O380" t="str">
        <f t="shared" si="11"/>
        <v/>
      </c>
      <c r="P380" t="str">
        <f>VLOOKUP(N380,'[1]Sheet1 (2)'!$L:$M,2,0)</f>
        <v/>
      </c>
    </row>
    <row r="381" spans="1:16" hidden="1" x14ac:dyDescent="0.2">
      <c r="A381" s="13" t="s">
        <v>410</v>
      </c>
      <c r="B381" s="13" t="s">
        <v>154</v>
      </c>
      <c r="C381" s="13" t="s">
        <v>396</v>
      </c>
      <c r="D381" s="14" t="s">
        <v>351</v>
      </c>
      <c r="E381" s="15" t="s">
        <v>17</v>
      </c>
      <c r="F381" s="15" t="s">
        <v>11</v>
      </c>
      <c r="G381" s="15">
        <v>200</v>
      </c>
      <c r="H381" s="15"/>
      <c r="I381" s="15"/>
      <c r="J381" s="15"/>
      <c r="K381" s="15"/>
      <c r="L381" s="15"/>
      <c r="M381" s="15"/>
      <c r="N381" t="str">
        <f t="shared" si="12"/>
        <v>PrerequisitesInstructor(ST)-Instructor(CSOD)Email</v>
      </c>
      <c r="O381" t="str">
        <f t="shared" si="11"/>
        <v/>
      </c>
      <c r="P381" t="str">
        <f>VLOOKUP(N381,'[1]Sheet1 (2)'!$L:$M,2,0)</f>
        <v/>
      </c>
    </row>
    <row r="382" spans="1:16" hidden="1" x14ac:dyDescent="0.2">
      <c r="A382" s="13" t="s">
        <v>410</v>
      </c>
      <c r="B382" s="13" t="s">
        <v>154</v>
      </c>
      <c r="C382" s="13" t="s">
        <v>396</v>
      </c>
      <c r="D382" s="14" t="s">
        <v>406</v>
      </c>
      <c r="E382" s="15" t="s">
        <v>17</v>
      </c>
      <c r="F382" s="15" t="s">
        <v>11</v>
      </c>
      <c r="G382" s="15">
        <v>100</v>
      </c>
      <c r="H382" s="15"/>
      <c r="I382" s="15"/>
      <c r="J382" s="15"/>
      <c r="K382" s="15"/>
      <c r="L382" s="15"/>
      <c r="M382" s="15"/>
      <c r="N382" t="str">
        <f t="shared" si="12"/>
        <v>PrerequisitesInstructor(ST)-Instructor(CSOD)Languages Spoken</v>
      </c>
      <c r="O382" t="str">
        <f t="shared" si="11"/>
        <v/>
      </c>
      <c r="P382" t="str">
        <f>VLOOKUP(N382,'[1]Sheet1 (2)'!$L:$M,2,0)</f>
        <v/>
      </c>
    </row>
    <row r="383" spans="1:16" hidden="1" x14ac:dyDescent="0.2">
      <c r="A383" s="13" t="s">
        <v>410</v>
      </c>
      <c r="B383" s="13" t="s">
        <v>154</v>
      </c>
      <c r="C383" s="13" t="s">
        <v>396</v>
      </c>
      <c r="D383" s="14" t="s">
        <v>407</v>
      </c>
      <c r="E383" s="15" t="s">
        <v>17</v>
      </c>
      <c r="F383" s="15" t="s">
        <v>11</v>
      </c>
      <c r="G383" s="15">
        <v>500</v>
      </c>
      <c r="H383" s="15"/>
      <c r="I383" s="15"/>
      <c r="J383" s="15"/>
      <c r="K383" s="15"/>
      <c r="L383" s="15"/>
      <c r="M383" s="15"/>
      <c r="N383" t="str">
        <f t="shared" si="12"/>
        <v>PrerequisitesInstructor(ST)-Instructor(CSOD)Education</v>
      </c>
      <c r="O383" t="str">
        <f t="shared" si="11"/>
        <v/>
      </c>
      <c r="P383" t="str">
        <f>VLOOKUP(N383,'[1]Sheet1 (2)'!$L:$M,2,0)</f>
        <v/>
      </c>
    </row>
    <row r="384" spans="1:16" hidden="1" x14ac:dyDescent="0.2">
      <c r="A384" s="13" t="s">
        <v>410</v>
      </c>
      <c r="B384" s="13" t="s">
        <v>154</v>
      </c>
      <c r="C384" s="13" t="s">
        <v>396</v>
      </c>
      <c r="D384" s="14" t="s">
        <v>408</v>
      </c>
      <c r="E384" s="15" t="s">
        <v>17</v>
      </c>
      <c r="F384" s="15" t="s">
        <v>11</v>
      </c>
      <c r="G384" s="15">
        <v>2000</v>
      </c>
      <c r="H384" s="15"/>
      <c r="I384" s="15"/>
      <c r="J384" s="15"/>
      <c r="K384" s="15"/>
      <c r="L384" s="15"/>
      <c r="M384" s="15"/>
      <c r="N384" t="str">
        <f t="shared" si="12"/>
        <v>PrerequisitesInstructor(ST)-Instructor(CSOD)Biography</v>
      </c>
      <c r="O384" t="str">
        <f t="shared" si="11"/>
        <v/>
      </c>
      <c r="P384" t="str">
        <f>VLOOKUP(N384,'[1]Sheet1 (2)'!$L:$M,2,0)</f>
        <v/>
      </c>
    </row>
    <row r="385" spans="1:16" hidden="1" x14ac:dyDescent="0.2">
      <c r="A385" s="13" t="s">
        <v>410</v>
      </c>
      <c r="B385" s="13" t="s">
        <v>154</v>
      </c>
      <c r="C385" s="13" t="s">
        <v>396</v>
      </c>
      <c r="D385" s="14" t="s">
        <v>409</v>
      </c>
      <c r="E385" s="15" t="s">
        <v>17</v>
      </c>
      <c r="F385" s="15" t="s">
        <v>11</v>
      </c>
      <c r="G385" s="15">
        <v>100</v>
      </c>
      <c r="H385" s="15"/>
      <c r="I385" s="15"/>
      <c r="J385" s="15"/>
      <c r="K385" s="15"/>
      <c r="L385" s="15"/>
      <c r="M385" s="15"/>
      <c r="N385" t="str">
        <f t="shared" si="12"/>
        <v>PrerequisitesInstructor(ST)-Instructor(CSOD)Certifications</v>
      </c>
      <c r="O385" t="str">
        <f t="shared" si="11"/>
        <v/>
      </c>
      <c r="P385" t="str">
        <f>VLOOKUP(N385,'[1]Sheet1 (2)'!$L:$M,2,0)</f>
        <v/>
      </c>
    </row>
    <row r="386" spans="1:16" hidden="1" x14ac:dyDescent="0.2">
      <c r="A386" s="13" t="s">
        <v>410</v>
      </c>
      <c r="B386" s="13" t="s">
        <v>418</v>
      </c>
      <c r="C386" s="13" t="s">
        <v>411</v>
      </c>
      <c r="D386" s="14" t="s">
        <v>412</v>
      </c>
      <c r="E386" s="15" t="s">
        <v>10</v>
      </c>
      <c r="F386" s="15" t="s">
        <v>11</v>
      </c>
      <c r="G386" s="15">
        <v>30</v>
      </c>
      <c r="H386" s="15"/>
      <c r="I386" s="15"/>
      <c r="J386" s="15" t="s">
        <v>413</v>
      </c>
      <c r="K386" s="15" t="s">
        <v>13</v>
      </c>
      <c r="L386" s="15">
        <v>255</v>
      </c>
      <c r="M386" s="13"/>
      <c r="N386" t="str">
        <f t="shared" si="12"/>
        <v>PrerequisitesLibraryTopic(ST)-Subject(CSOD)Subject Ref</v>
      </c>
      <c r="O386" t="str">
        <f t="shared" si="11"/>
        <v/>
      </c>
      <c r="P386" t="str">
        <f>VLOOKUP(N386,'[1]Sheet1 (2)'!$L:$M,2,0)</f>
        <v/>
      </c>
    </row>
    <row r="387" spans="1:16" hidden="1" x14ac:dyDescent="0.2">
      <c r="A387" s="13" t="s">
        <v>410</v>
      </c>
      <c r="B387" s="13" t="s">
        <v>418</v>
      </c>
      <c r="C387" s="13" t="s">
        <v>411</v>
      </c>
      <c r="D387" s="14" t="s">
        <v>414</v>
      </c>
      <c r="E387" s="15" t="s">
        <v>17</v>
      </c>
      <c r="F387" s="15" t="s">
        <v>11</v>
      </c>
      <c r="G387" s="15">
        <v>30</v>
      </c>
      <c r="H387" s="15"/>
      <c r="I387" s="15"/>
      <c r="J387" s="15" t="s">
        <v>415</v>
      </c>
      <c r="K387" s="15" t="s">
        <v>13</v>
      </c>
      <c r="L387" s="15">
        <v>255</v>
      </c>
      <c r="M387" s="13"/>
      <c r="N387" t="str">
        <f t="shared" si="12"/>
        <v>PrerequisitesLibraryTopic(ST)-Subject(CSOD)Parent Subject Ref</v>
      </c>
      <c r="O387" t="str">
        <f t="shared" ref="O387:O450" si="13">IF(H387="","",H387)</f>
        <v/>
      </c>
      <c r="P387" t="str">
        <f>VLOOKUP(N387,'[1]Sheet1 (2)'!$L:$M,2,0)</f>
        <v/>
      </c>
    </row>
    <row r="388" spans="1:16" hidden="1" x14ac:dyDescent="0.2">
      <c r="A388" s="13" t="s">
        <v>410</v>
      </c>
      <c r="B388" s="13" t="s">
        <v>418</v>
      </c>
      <c r="C388" s="13" t="s">
        <v>411</v>
      </c>
      <c r="D388" s="14" t="s">
        <v>416</v>
      </c>
      <c r="E388" s="15" t="s">
        <v>10</v>
      </c>
      <c r="F388" s="15" t="s">
        <v>11</v>
      </c>
      <c r="G388" s="15">
        <v>100</v>
      </c>
      <c r="H388" s="15"/>
      <c r="I388" s="15"/>
      <c r="J388" s="15" t="s">
        <v>417</v>
      </c>
      <c r="K388" s="15" t="s">
        <v>13</v>
      </c>
      <c r="L388" s="15">
        <v>255</v>
      </c>
      <c r="M388" s="13"/>
      <c r="N388" t="str">
        <f t="shared" si="12"/>
        <v>PrerequisitesLibraryTopic(ST)-Subject(CSOD)Title</v>
      </c>
      <c r="O388" t="str">
        <f t="shared" si="13"/>
        <v/>
      </c>
      <c r="P388" t="str">
        <f>VLOOKUP(N388,'[1]Sheet1 (2)'!$L:$M,2,0)</f>
        <v/>
      </c>
    </row>
    <row r="389" spans="1:16" ht="48" hidden="1" x14ac:dyDescent="0.2">
      <c r="A389" s="13" t="s">
        <v>410</v>
      </c>
      <c r="B389" s="13" t="s">
        <v>418</v>
      </c>
      <c r="C389" s="13" t="s">
        <v>411</v>
      </c>
      <c r="D389" s="14" t="s">
        <v>16</v>
      </c>
      <c r="E389" s="15" t="s">
        <v>17</v>
      </c>
      <c r="F389" s="15" t="s">
        <v>18</v>
      </c>
      <c r="G389" s="15"/>
      <c r="H389" s="15" t="b">
        <v>1</v>
      </c>
      <c r="I389" s="17" t="s">
        <v>19</v>
      </c>
      <c r="J389" s="15"/>
      <c r="K389" s="15"/>
      <c r="L389" s="15"/>
      <c r="M389" s="13"/>
      <c r="N389" t="str">
        <f t="shared" si="12"/>
        <v>PrerequisitesLibraryTopic(ST)-Subject(CSOD)Active</v>
      </c>
      <c r="O389" t="b">
        <f t="shared" si="13"/>
        <v>1</v>
      </c>
      <c r="P389" t="e">
        <f>VLOOKUP(N389,'[1]Sheet1 (2)'!$L:$M,2,0)</f>
        <v>#N/A</v>
      </c>
    </row>
    <row r="390" spans="1:16" hidden="1" x14ac:dyDescent="0.2">
      <c r="A390" s="13" t="s">
        <v>410</v>
      </c>
      <c r="B390" s="13" t="s">
        <v>57</v>
      </c>
      <c r="C390" s="13" t="s">
        <v>419</v>
      </c>
      <c r="D390" s="15" t="s">
        <v>420</v>
      </c>
      <c r="E390" s="15" t="s">
        <v>10</v>
      </c>
      <c r="F390" s="15" t="s">
        <v>11</v>
      </c>
      <c r="G390" s="15">
        <v>100</v>
      </c>
      <c r="H390" s="15"/>
      <c r="I390" s="15" t="s">
        <v>421</v>
      </c>
      <c r="J390" s="15" t="s">
        <v>13</v>
      </c>
      <c r="K390" s="15">
        <v>50</v>
      </c>
      <c r="L390" s="13"/>
      <c r="M390" s="13"/>
      <c r="N390" t="str">
        <f t="shared" si="12"/>
        <v>PrerequisitesProvider(CSOD)Provider Name*</v>
      </c>
      <c r="O390" t="str">
        <f t="shared" si="13"/>
        <v/>
      </c>
      <c r="P390" t="str">
        <f>VLOOKUP(N390,'[1]Sheet1 (2)'!$L:$M,2,0)</f>
        <v/>
      </c>
    </row>
    <row r="391" spans="1:16" hidden="1" x14ac:dyDescent="0.2">
      <c r="A391" s="13" t="s">
        <v>410</v>
      </c>
      <c r="B391" s="13" t="s">
        <v>57</v>
      </c>
      <c r="C391" s="13" t="s">
        <v>419</v>
      </c>
      <c r="D391" s="15" t="s">
        <v>265</v>
      </c>
      <c r="E391" s="15" t="s">
        <v>10</v>
      </c>
      <c r="F391" s="15" t="s">
        <v>11</v>
      </c>
      <c r="G391" s="15">
        <v>20</v>
      </c>
      <c r="H391" s="15" t="s">
        <v>422</v>
      </c>
      <c r="I391" s="15" t="s">
        <v>423</v>
      </c>
      <c r="J391" s="15" t="s">
        <v>13</v>
      </c>
      <c r="K391" s="15">
        <v>20</v>
      </c>
      <c r="L391" s="13"/>
      <c r="M391" s="13"/>
      <c r="N391" t="str">
        <f t="shared" ref="N391:N454" si="14">_xlfn.CONCAT(A391,C391,D391)</f>
        <v>PrerequisitesProvider(CSOD)Provider Type*</v>
      </c>
      <c r="O391" t="str">
        <f t="shared" si="13"/>
        <v>ONLINE, ILT</v>
      </c>
      <c r="P391" t="str">
        <f>VLOOKUP(N391,'[1]Sheet1 (2)'!$L:$M,2,0)</f>
        <v>ONLINE, ILT</v>
      </c>
    </row>
    <row r="392" spans="1:16" hidden="1" x14ac:dyDescent="0.2">
      <c r="A392" s="13" t="s">
        <v>410</v>
      </c>
      <c r="B392" s="13" t="s">
        <v>57</v>
      </c>
      <c r="C392" s="13" t="s">
        <v>419</v>
      </c>
      <c r="D392" s="15" t="s">
        <v>16</v>
      </c>
      <c r="E392" s="15" t="s">
        <v>17</v>
      </c>
      <c r="F392" s="15" t="s">
        <v>18</v>
      </c>
      <c r="G392" s="15"/>
      <c r="H392" s="17" t="s">
        <v>19</v>
      </c>
      <c r="I392" s="15"/>
      <c r="J392" s="15"/>
      <c r="K392" s="15"/>
      <c r="L392" s="13"/>
      <c r="M392" s="13"/>
      <c r="N392" t="str">
        <f t="shared" si="14"/>
        <v>PrerequisitesProvider(CSOD)Active</v>
      </c>
      <c r="O392" t="str">
        <f t="shared" si="13"/>
        <v>1, 0, y, n, yes, no, t, f, true, false, on, off, active, inactive</v>
      </c>
      <c r="P392" t="str">
        <f>VLOOKUP(N392,'[1]Sheet1 (2)'!$L:$M,2,0)</f>
        <v>1, 0, y, n, yes, no, t, f, true, false, on, off, active, inactive</v>
      </c>
    </row>
    <row r="393" spans="1:16" hidden="1" x14ac:dyDescent="0.2">
      <c r="A393" s="13" t="s">
        <v>410</v>
      </c>
      <c r="B393" s="13" t="s">
        <v>57</v>
      </c>
      <c r="C393" s="13" t="s">
        <v>419</v>
      </c>
      <c r="D393" s="15" t="s">
        <v>30</v>
      </c>
      <c r="E393" s="15" t="s">
        <v>17</v>
      </c>
      <c r="F393" s="15" t="s">
        <v>11</v>
      </c>
      <c r="G393" s="15">
        <v>50</v>
      </c>
      <c r="H393" s="15"/>
      <c r="I393" s="15"/>
      <c r="J393" s="15"/>
      <c r="K393" s="15"/>
      <c r="L393" s="13"/>
      <c r="M393" s="13"/>
      <c r="N393" t="str">
        <f t="shared" si="14"/>
        <v>PrerequisitesProvider(CSOD)Address 1</v>
      </c>
      <c r="O393" t="str">
        <f t="shared" si="13"/>
        <v/>
      </c>
      <c r="P393" t="str">
        <f>VLOOKUP(N393,'[1]Sheet1 (2)'!$L:$M,2,0)</f>
        <v/>
      </c>
    </row>
    <row r="394" spans="1:16" hidden="1" x14ac:dyDescent="0.2">
      <c r="A394" s="13" t="s">
        <v>410</v>
      </c>
      <c r="B394" s="13" t="s">
        <v>57</v>
      </c>
      <c r="C394" s="13" t="s">
        <v>419</v>
      </c>
      <c r="D394" s="15" t="s">
        <v>31</v>
      </c>
      <c r="E394" s="15" t="s">
        <v>17</v>
      </c>
      <c r="F394" s="15" t="s">
        <v>11</v>
      </c>
      <c r="G394" s="15">
        <v>50</v>
      </c>
      <c r="H394" s="15"/>
      <c r="I394" s="15"/>
      <c r="J394" s="15"/>
      <c r="K394" s="15"/>
      <c r="L394" s="13"/>
      <c r="M394" s="13"/>
      <c r="N394" t="str">
        <f t="shared" si="14"/>
        <v>PrerequisitesProvider(CSOD)Address 2</v>
      </c>
      <c r="O394" t="str">
        <f t="shared" si="13"/>
        <v/>
      </c>
      <c r="P394" t="str">
        <f>VLOOKUP(N394,'[1]Sheet1 (2)'!$L:$M,2,0)</f>
        <v/>
      </c>
    </row>
    <row r="395" spans="1:16" hidden="1" x14ac:dyDescent="0.2">
      <c r="A395" s="13" t="s">
        <v>410</v>
      </c>
      <c r="B395" s="13" t="s">
        <v>57</v>
      </c>
      <c r="C395" s="13" t="s">
        <v>419</v>
      </c>
      <c r="D395" s="15" t="s">
        <v>32</v>
      </c>
      <c r="E395" s="15" t="s">
        <v>17</v>
      </c>
      <c r="F395" s="15" t="s">
        <v>11</v>
      </c>
      <c r="G395" s="15">
        <v>50</v>
      </c>
      <c r="H395" s="15"/>
      <c r="I395" s="15"/>
      <c r="J395" s="15"/>
      <c r="K395" s="15"/>
      <c r="L395" s="13"/>
      <c r="M395" s="13"/>
      <c r="N395" t="str">
        <f t="shared" si="14"/>
        <v>PrerequisitesProvider(CSOD)City</v>
      </c>
      <c r="O395" t="str">
        <f t="shared" si="13"/>
        <v/>
      </c>
      <c r="P395" t="str">
        <f>VLOOKUP(N395,'[1]Sheet1 (2)'!$L:$M,2,0)</f>
        <v/>
      </c>
    </row>
    <row r="396" spans="1:16" hidden="1" x14ac:dyDescent="0.2">
      <c r="A396" s="13" t="s">
        <v>410</v>
      </c>
      <c r="B396" s="13" t="s">
        <v>57</v>
      </c>
      <c r="C396" s="13" t="s">
        <v>419</v>
      </c>
      <c r="D396" s="15" t="s">
        <v>424</v>
      </c>
      <c r="E396" s="15" t="s">
        <v>17</v>
      </c>
      <c r="F396" s="15" t="s">
        <v>11</v>
      </c>
      <c r="G396" s="15">
        <v>50</v>
      </c>
      <c r="H396" s="15"/>
      <c r="I396" s="15"/>
      <c r="J396" s="15"/>
      <c r="K396" s="15"/>
      <c r="L396" s="13"/>
      <c r="M396" s="13"/>
      <c r="N396" t="str">
        <f t="shared" si="14"/>
        <v>PrerequisitesProvider(CSOD)ZIP</v>
      </c>
      <c r="O396" t="str">
        <f t="shared" si="13"/>
        <v/>
      </c>
      <c r="P396" t="str">
        <f>VLOOKUP(N396,'[1]Sheet1 (2)'!$L:$M,2,0)</f>
        <v/>
      </c>
    </row>
    <row r="397" spans="1:16" hidden="1" x14ac:dyDescent="0.2">
      <c r="A397" s="13" t="s">
        <v>410</v>
      </c>
      <c r="B397" s="13" t="s">
        <v>57</v>
      </c>
      <c r="C397" s="13" t="s">
        <v>419</v>
      </c>
      <c r="D397" s="15" t="s">
        <v>425</v>
      </c>
      <c r="E397" s="15" t="s">
        <v>17</v>
      </c>
      <c r="F397" s="15" t="s">
        <v>11</v>
      </c>
      <c r="G397" s="15">
        <v>50</v>
      </c>
      <c r="H397" s="15"/>
      <c r="I397" s="15"/>
      <c r="J397" s="15"/>
      <c r="K397" s="15"/>
      <c r="L397" s="13"/>
      <c r="M397" s="13"/>
      <c r="N397" t="str">
        <f t="shared" si="14"/>
        <v>PrerequisitesProvider(CSOD)State/Province</v>
      </c>
      <c r="O397" t="str">
        <f t="shared" si="13"/>
        <v/>
      </c>
      <c r="P397" t="str">
        <f>VLOOKUP(N397,'[1]Sheet1 (2)'!$L:$M,2,0)</f>
        <v/>
      </c>
    </row>
    <row r="398" spans="1:16" hidden="1" x14ac:dyDescent="0.2">
      <c r="A398" s="13" t="s">
        <v>410</v>
      </c>
      <c r="B398" s="13" t="s">
        <v>57</v>
      </c>
      <c r="C398" s="13" t="s">
        <v>419</v>
      </c>
      <c r="D398" s="15" t="s">
        <v>35</v>
      </c>
      <c r="E398" s="15" t="s">
        <v>17</v>
      </c>
      <c r="F398" s="15" t="s">
        <v>11</v>
      </c>
      <c r="G398" s="15">
        <v>3</v>
      </c>
      <c r="H398" s="15"/>
      <c r="I398" s="15"/>
      <c r="J398" s="15"/>
      <c r="K398" s="15"/>
      <c r="L398" s="13"/>
      <c r="M398" s="13"/>
      <c r="N398" t="str">
        <f t="shared" si="14"/>
        <v>PrerequisitesProvider(CSOD)Country</v>
      </c>
      <c r="O398" t="str">
        <f t="shared" si="13"/>
        <v/>
      </c>
      <c r="P398" t="str">
        <f>VLOOKUP(N398,'[1]Sheet1 (2)'!$L:$M,2,0)</f>
        <v/>
      </c>
    </row>
    <row r="399" spans="1:16" hidden="1" x14ac:dyDescent="0.2">
      <c r="A399" s="13" t="s">
        <v>410</v>
      </c>
      <c r="B399" s="13" t="s">
        <v>57</v>
      </c>
      <c r="C399" s="13" t="s">
        <v>419</v>
      </c>
      <c r="D399" s="15" t="s">
        <v>426</v>
      </c>
      <c r="E399" s="15" t="s">
        <v>17</v>
      </c>
      <c r="F399" s="15" t="s">
        <v>11</v>
      </c>
      <c r="G399" s="15">
        <v>50</v>
      </c>
      <c r="H399" s="15"/>
      <c r="I399" s="15"/>
      <c r="J399" s="15"/>
      <c r="K399" s="15"/>
      <c r="L399" s="13"/>
      <c r="M399" s="13"/>
      <c r="N399" t="str">
        <f t="shared" si="14"/>
        <v>PrerequisitesProvider(CSOD)Contact Name</v>
      </c>
      <c r="O399" t="str">
        <f t="shared" si="13"/>
        <v/>
      </c>
      <c r="P399" t="str">
        <f>VLOOKUP(N399,'[1]Sheet1 (2)'!$L:$M,2,0)</f>
        <v/>
      </c>
    </row>
    <row r="400" spans="1:16" hidden="1" x14ac:dyDescent="0.2">
      <c r="A400" s="13" t="s">
        <v>410</v>
      </c>
      <c r="B400" s="13" t="s">
        <v>57</v>
      </c>
      <c r="C400" s="13" t="s">
        <v>419</v>
      </c>
      <c r="D400" s="15" t="s">
        <v>427</v>
      </c>
      <c r="E400" s="15" t="s">
        <v>17</v>
      </c>
      <c r="F400" s="15" t="s">
        <v>11</v>
      </c>
      <c r="G400" s="15">
        <v>50</v>
      </c>
      <c r="H400" s="15"/>
      <c r="I400" s="15"/>
      <c r="J400" s="15"/>
      <c r="K400" s="15"/>
      <c r="L400" s="13"/>
      <c r="M400" s="13"/>
      <c r="N400" t="str">
        <f t="shared" si="14"/>
        <v>PrerequisitesProvider(CSOD)Phone number</v>
      </c>
      <c r="O400" t="str">
        <f t="shared" si="13"/>
        <v/>
      </c>
      <c r="P400" t="str">
        <f>VLOOKUP(N400,'[1]Sheet1 (2)'!$L:$M,2,0)</f>
        <v/>
      </c>
    </row>
    <row r="401" spans="1:16" hidden="1" x14ac:dyDescent="0.2">
      <c r="A401" s="13" t="s">
        <v>410</v>
      </c>
      <c r="B401" s="13" t="s">
        <v>57</v>
      </c>
      <c r="C401" s="13" t="s">
        <v>419</v>
      </c>
      <c r="D401" s="15" t="s">
        <v>428</v>
      </c>
      <c r="E401" s="15" t="s">
        <v>17</v>
      </c>
      <c r="F401" s="15" t="s">
        <v>11</v>
      </c>
      <c r="G401" s="15">
        <v>50</v>
      </c>
      <c r="H401" s="15"/>
      <c r="I401" s="15"/>
      <c r="J401" s="15"/>
      <c r="K401" s="15"/>
      <c r="L401" s="13"/>
      <c r="M401" s="13"/>
      <c r="N401" t="str">
        <f t="shared" si="14"/>
        <v>PrerequisitesProvider(CSOD)Fax number</v>
      </c>
      <c r="O401" t="str">
        <f t="shared" si="13"/>
        <v/>
      </c>
      <c r="P401" t="str">
        <f>VLOOKUP(N401,'[1]Sheet1 (2)'!$L:$M,2,0)</f>
        <v/>
      </c>
    </row>
    <row r="402" spans="1:16" hidden="1" x14ac:dyDescent="0.2">
      <c r="A402" s="13" t="s">
        <v>410</v>
      </c>
      <c r="B402" s="13" t="s">
        <v>57</v>
      </c>
      <c r="C402" s="13" t="s">
        <v>419</v>
      </c>
      <c r="D402" s="15" t="s">
        <v>120</v>
      </c>
      <c r="E402" s="15" t="s">
        <v>17</v>
      </c>
      <c r="F402" s="15" t="s">
        <v>429</v>
      </c>
      <c r="G402" s="15">
        <v>225</v>
      </c>
      <c r="H402" s="15"/>
      <c r="I402" s="15"/>
      <c r="J402" s="15"/>
      <c r="K402" s="15"/>
      <c r="L402" s="13"/>
      <c r="M402" s="13"/>
      <c r="N402" t="str">
        <f t="shared" si="14"/>
        <v>PrerequisitesProvider(CSOD)URL</v>
      </c>
      <c r="O402" t="str">
        <f t="shared" si="13"/>
        <v/>
      </c>
      <c r="P402" t="str">
        <f>VLOOKUP(N402,'[1]Sheet1 (2)'!$L:$M,2,0)</f>
        <v/>
      </c>
    </row>
    <row r="403" spans="1:16" hidden="1" x14ac:dyDescent="0.2">
      <c r="A403" s="13" t="s">
        <v>410</v>
      </c>
      <c r="B403" s="13" t="s">
        <v>57</v>
      </c>
      <c r="C403" s="13" t="s">
        <v>419</v>
      </c>
      <c r="D403" s="15" t="s">
        <v>351</v>
      </c>
      <c r="E403" s="15" t="s">
        <v>17</v>
      </c>
      <c r="F403" s="15" t="s">
        <v>11</v>
      </c>
      <c r="G403" s="15">
        <v>100</v>
      </c>
      <c r="H403" s="15"/>
      <c r="I403" s="15"/>
      <c r="J403" s="15"/>
      <c r="K403" s="15"/>
      <c r="L403" s="13"/>
      <c r="M403" s="13"/>
      <c r="N403" t="str">
        <f t="shared" si="14"/>
        <v>PrerequisitesProvider(CSOD)Email</v>
      </c>
      <c r="O403" t="str">
        <f t="shared" si="13"/>
        <v/>
      </c>
      <c r="P403" t="str">
        <f>VLOOKUP(N403,'[1]Sheet1 (2)'!$L:$M,2,0)</f>
        <v/>
      </c>
    </row>
    <row r="404" spans="1:16" hidden="1" x14ac:dyDescent="0.2">
      <c r="A404" s="13" t="s">
        <v>410</v>
      </c>
      <c r="B404" s="13" t="s">
        <v>57</v>
      </c>
      <c r="C404" s="13" t="s">
        <v>419</v>
      </c>
      <c r="D404" s="15" t="s">
        <v>65</v>
      </c>
      <c r="E404" s="15" t="s">
        <v>17</v>
      </c>
      <c r="F404" s="15" t="s">
        <v>11</v>
      </c>
      <c r="G404" s="15">
        <v>2100</v>
      </c>
      <c r="H404" s="15"/>
      <c r="I404" s="15"/>
      <c r="J404" s="15"/>
      <c r="K404" s="15"/>
      <c r="L404" s="13"/>
      <c r="M404" s="13"/>
      <c r="N404" t="str">
        <f t="shared" si="14"/>
        <v>PrerequisitesProvider(CSOD)Description</v>
      </c>
      <c r="O404" t="str">
        <f t="shared" si="13"/>
        <v/>
      </c>
      <c r="P404" t="str">
        <f>VLOOKUP(N404,'[1]Sheet1 (2)'!$L:$M,2,0)</f>
        <v/>
      </c>
    </row>
    <row r="405" spans="1:16" hidden="1" x14ac:dyDescent="0.2">
      <c r="A405" s="13" t="s">
        <v>410</v>
      </c>
      <c r="B405" s="13" t="s">
        <v>436</v>
      </c>
      <c r="C405" s="13" t="s">
        <v>430</v>
      </c>
      <c r="D405" s="15" t="s">
        <v>431</v>
      </c>
      <c r="E405" s="15" t="s">
        <v>10</v>
      </c>
      <c r="F405" s="15" t="s">
        <v>11</v>
      </c>
      <c r="G405" s="15">
        <v>50</v>
      </c>
      <c r="H405" s="15"/>
      <c r="I405" s="15"/>
      <c r="J405" s="15" t="s">
        <v>432</v>
      </c>
      <c r="K405" s="15" t="s">
        <v>13</v>
      </c>
      <c r="L405" s="15">
        <v>30</v>
      </c>
      <c r="M405" s="15"/>
      <c r="N405" t="str">
        <f t="shared" si="14"/>
        <v>PrerequisitesQuestionBanks(ST)-QuestionCategories(CSOD)Category Ref*</v>
      </c>
      <c r="O405" t="str">
        <f t="shared" si="13"/>
        <v/>
      </c>
      <c r="P405" t="str">
        <f>VLOOKUP(N405,'[1]Sheet1 (2)'!$L:$M,2,0)</f>
        <v/>
      </c>
    </row>
    <row r="406" spans="1:16" hidden="1" x14ac:dyDescent="0.2">
      <c r="A406" s="13" t="s">
        <v>410</v>
      </c>
      <c r="B406" s="13" t="s">
        <v>436</v>
      </c>
      <c r="C406" s="13" t="s">
        <v>430</v>
      </c>
      <c r="D406" s="15" t="s">
        <v>433</v>
      </c>
      <c r="E406" s="15" t="s">
        <v>10</v>
      </c>
      <c r="F406" s="15" t="s">
        <v>11</v>
      </c>
      <c r="G406" s="15">
        <v>100</v>
      </c>
      <c r="H406" s="15"/>
      <c r="I406" s="15"/>
      <c r="J406" s="15" t="s">
        <v>434</v>
      </c>
      <c r="K406" s="15" t="s">
        <v>13</v>
      </c>
      <c r="L406" s="15">
        <v>256</v>
      </c>
      <c r="M406" s="15"/>
      <c r="N406" t="str">
        <f t="shared" si="14"/>
        <v>PrerequisitesQuestionBanks(ST)-QuestionCategories(CSOD)Category Name*</v>
      </c>
      <c r="O406" t="str">
        <f t="shared" si="13"/>
        <v/>
      </c>
      <c r="P406" t="str">
        <f>VLOOKUP(N406,'[1]Sheet1 (2)'!$L:$M,2,0)</f>
        <v/>
      </c>
    </row>
    <row r="407" spans="1:16" ht="48" hidden="1" x14ac:dyDescent="0.2">
      <c r="A407" s="13" t="s">
        <v>410</v>
      </c>
      <c r="B407" s="13" t="s">
        <v>436</v>
      </c>
      <c r="C407" s="13" t="s">
        <v>430</v>
      </c>
      <c r="D407" s="15" t="s">
        <v>16</v>
      </c>
      <c r="E407" s="15" t="s">
        <v>17</v>
      </c>
      <c r="F407" s="15" t="s">
        <v>18</v>
      </c>
      <c r="G407" s="15"/>
      <c r="H407" s="15">
        <v>1</v>
      </c>
      <c r="I407" s="17" t="s">
        <v>19</v>
      </c>
      <c r="J407" s="15"/>
      <c r="K407" s="15"/>
      <c r="L407" s="15"/>
      <c r="M407" s="15"/>
      <c r="N407" t="str">
        <f t="shared" si="14"/>
        <v>PrerequisitesQuestionBanks(ST)-QuestionCategories(CSOD)Active</v>
      </c>
      <c r="O407">
        <f t="shared" si="13"/>
        <v>1</v>
      </c>
      <c r="P407" t="e">
        <f>VLOOKUP(N407,'[1]Sheet1 (2)'!$L:$M,2,0)</f>
        <v>#N/A</v>
      </c>
    </row>
    <row r="408" spans="1:16" hidden="1" x14ac:dyDescent="0.2">
      <c r="A408" s="13" t="s">
        <v>410</v>
      </c>
      <c r="B408" s="13" t="s">
        <v>436</v>
      </c>
      <c r="C408" s="13" t="s">
        <v>430</v>
      </c>
      <c r="D408" s="15" t="s">
        <v>435</v>
      </c>
      <c r="E408" s="15" t="s">
        <v>17</v>
      </c>
      <c r="F408" s="15" t="s">
        <v>11</v>
      </c>
      <c r="G408" s="15">
        <v>50</v>
      </c>
      <c r="H408" s="15"/>
      <c r="I408" s="15"/>
      <c r="J408" s="15"/>
      <c r="K408" s="15"/>
      <c r="L408" s="15"/>
      <c r="M408" s="15"/>
      <c r="N408" t="str">
        <f t="shared" si="14"/>
        <v>PrerequisitesQuestionBanks(ST)-QuestionCategories(CSOD)Parent Category Ref</v>
      </c>
      <c r="O408" t="str">
        <f t="shared" si="13"/>
        <v/>
      </c>
      <c r="P408" t="str">
        <f>VLOOKUP(N408,'[1]Sheet1 (2)'!$L:$M,2,0)</f>
        <v/>
      </c>
    </row>
    <row r="409" spans="1:16" hidden="1" x14ac:dyDescent="0.2">
      <c r="A409" s="13" t="s">
        <v>410</v>
      </c>
      <c r="B409" s="13" t="s">
        <v>463</v>
      </c>
      <c r="C409" s="13" t="s">
        <v>437</v>
      </c>
      <c r="D409" s="15" t="s">
        <v>438</v>
      </c>
      <c r="E409" s="15" t="s">
        <v>10</v>
      </c>
      <c r="F409" s="15" t="s">
        <v>11</v>
      </c>
      <c r="G409" s="15">
        <v>50</v>
      </c>
      <c r="H409" s="15"/>
      <c r="I409" s="15"/>
      <c r="J409" s="15" t="s">
        <v>289</v>
      </c>
      <c r="K409" s="15" t="s">
        <v>13</v>
      </c>
      <c r="L409" s="15"/>
      <c r="M409" s="15"/>
      <c r="N409" t="str">
        <f t="shared" si="14"/>
        <v>PrerequisitesQuestions(ST)-Questions(CSOD)Question Reference Number*</v>
      </c>
      <c r="O409" t="str">
        <f t="shared" si="13"/>
        <v/>
      </c>
      <c r="P409" t="str">
        <f>VLOOKUP(N409,'[1]Sheet1 (2)'!$L:$M,2,0)</f>
        <v/>
      </c>
    </row>
    <row r="410" spans="1:16" hidden="1" x14ac:dyDescent="0.2">
      <c r="A410" s="13" t="s">
        <v>410</v>
      </c>
      <c r="B410" s="13" t="s">
        <v>463</v>
      </c>
      <c r="C410" s="13" t="s">
        <v>437</v>
      </c>
      <c r="D410" s="15" t="s">
        <v>439</v>
      </c>
      <c r="E410" s="15" t="s">
        <v>10</v>
      </c>
      <c r="F410" s="15" t="s">
        <v>11</v>
      </c>
      <c r="G410" s="15">
        <v>2000</v>
      </c>
      <c r="H410" s="15"/>
      <c r="I410" s="15"/>
      <c r="J410" s="15" t="s">
        <v>440</v>
      </c>
      <c r="K410" s="15" t="s">
        <v>64</v>
      </c>
      <c r="L410" s="15"/>
      <c r="M410" s="15"/>
      <c r="N410" t="str">
        <f t="shared" si="14"/>
        <v>PrerequisitesQuestions(ST)-Questions(CSOD)Question Text*</v>
      </c>
      <c r="O410" t="str">
        <f t="shared" si="13"/>
        <v/>
      </c>
      <c r="P410" t="str">
        <f>VLOOKUP(N410,'[1]Sheet1 (2)'!$L:$M,2,0)</f>
        <v/>
      </c>
    </row>
    <row r="411" spans="1:16" hidden="1" x14ac:dyDescent="0.2">
      <c r="A411" s="13" t="s">
        <v>410</v>
      </c>
      <c r="B411" s="13" t="s">
        <v>463</v>
      </c>
      <c r="C411" s="13" t="s">
        <v>437</v>
      </c>
      <c r="D411" s="15" t="s">
        <v>441</v>
      </c>
      <c r="E411" s="15" t="s">
        <v>10</v>
      </c>
      <c r="F411" s="15" t="s">
        <v>11</v>
      </c>
      <c r="G411" s="15"/>
      <c r="H411" s="15"/>
      <c r="I411" s="15"/>
      <c r="J411" s="15" t="s">
        <v>442</v>
      </c>
      <c r="K411" s="15" t="s">
        <v>13</v>
      </c>
      <c r="L411" s="15"/>
      <c r="M411" s="15"/>
      <c r="N411" t="str">
        <f t="shared" si="14"/>
        <v>PrerequisitesQuestions(ST)-Questions(CSOD)Question Type*</v>
      </c>
      <c r="O411" t="str">
        <f t="shared" si="13"/>
        <v/>
      </c>
      <c r="P411" t="str">
        <f>VLOOKUP(N411,'[1]Sheet1 (2)'!$L:$M,2,0)</f>
        <v/>
      </c>
    </row>
    <row r="412" spans="1:16" hidden="1" x14ac:dyDescent="0.2">
      <c r="A412" s="13" t="s">
        <v>410</v>
      </c>
      <c r="B412" s="13" t="s">
        <v>463</v>
      </c>
      <c r="C412" s="13" t="s">
        <v>437</v>
      </c>
      <c r="D412" s="15" t="s">
        <v>443</v>
      </c>
      <c r="E412" s="15" t="s">
        <v>17</v>
      </c>
      <c r="F412" s="15" t="s">
        <v>11</v>
      </c>
      <c r="G412" s="15">
        <v>1000</v>
      </c>
      <c r="H412" s="15"/>
      <c r="I412" s="15"/>
      <c r="J412" s="15" t="s">
        <v>443</v>
      </c>
      <c r="K412" s="15" t="s">
        <v>13</v>
      </c>
      <c r="L412" s="15"/>
      <c r="M412" s="15"/>
      <c r="N412" t="str">
        <f t="shared" si="14"/>
        <v>PrerequisitesQuestions(ST)-Questions(CSOD)Correct Answer</v>
      </c>
      <c r="O412" t="str">
        <f t="shared" si="13"/>
        <v/>
      </c>
      <c r="P412" t="str">
        <f>VLOOKUP(N412,'[1]Sheet1 (2)'!$L:$M,2,0)</f>
        <v/>
      </c>
    </row>
    <row r="413" spans="1:16" hidden="1" x14ac:dyDescent="0.2">
      <c r="A413" s="13" t="s">
        <v>410</v>
      </c>
      <c r="B413" s="13" t="s">
        <v>463</v>
      </c>
      <c r="C413" s="13" t="s">
        <v>437</v>
      </c>
      <c r="D413" s="15" t="s">
        <v>431</v>
      </c>
      <c r="E413" s="15" t="s">
        <v>10</v>
      </c>
      <c r="F413" s="15" t="s">
        <v>11</v>
      </c>
      <c r="G413" s="15">
        <v>200</v>
      </c>
      <c r="H413" s="15"/>
      <c r="I413" s="15"/>
      <c r="J413" s="15" t="s">
        <v>432</v>
      </c>
      <c r="K413" s="15" t="s">
        <v>13</v>
      </c>
      <c r="L413" s="15">
        <v>30</v>
      </c>
      <c r="M413" s="15"/>
      <c r="N413" t="str">
        <f t="shared" si="14"/>
        <v>PrerequisitesQuestions(ST)-Questions(CSOD)Category Ref*</v>
      </c>
      <c r="O413" t="str">
        <f t="shared" si="13"/>
        <v/>
      </c>
      <c r="P413" t="str">
        <f>VLOOKUP(N413,'[1]Sheet1 (2)'!$L:$M,2,0)</f>
        <v/>
      </c>
    </row>
    <row r="414" spans="1:16" hidden="1" x14ac:dyDescent="0.2">
      <c r="A414" s="13" t="s">
        <v>410</v>
      </c>
      <c r="B414" s="13" t="s">
        <v>463</v>
      </c>
      <c r="C414" s="13" t="s">
        <v>437</v>
      </c>
      <c r="D414" s="15" t="s">
        <v>61</v>
      </c>
      <c r="E414" s="15" t="s">
        <v>17</v>
      </c>
      <c r="F414" s="15" t="s">
        <v>11</v>
      </c>
      <c r="G414" s="15"/>
      <c r="H414" s="22" t="s">
        <v>123</v>
      </c>
      <c r="I414" s="15"/>
      <c r="J414" s="15"/>
      <c r="K414" s="15"/>
      <c r="L414" s="15"/>
      <c r="M414" s="15"/>
      <c r="N414" t="str">
        <f t="shared" si="14"/>
        <v>PrerequisitesQuestions(ST)-Questions(CSOD)Default Language</v>
      </c>
      <c r="O414" t="str">
        <f t="shared" si="13"/>
        <v>en-US</v>
      </c>
      <c r="P414" t="str">
        <f>VLOOKUP(N414,'[1]Sheet1 (2)'!$L:$M,2,0)</f>
        <v>en-US</v>
      </c>
    </row>
    <row r="415" spans="1:16" ht="48" hidden="1" x14ac:dyDescent="0.2">
      <c r="A415" s="13" t="s">
        <v>410</v>
      </c>
      <c r="B415" s="13" t="s">
        <v>463</v>
      </c>
      <c r="C415" s="13" t="s">
        <v>437</v>
      </c>
      <c r="D415" s="15" t="s">
        <v>16</v>
      </c>
      <c r="E415" s="15" t="s">
        <v>17</v>
      </c>
      <c r="F415" s="15" t="s">
        <v>18</v>
      </c>
      <c r="G415" s="15"/>
      <c r="H415" s="22" t="b">
        <v>0</v>
      </c>
      <c r="I415" s="17" t="s">
        <v>19</v>
      </c>
      <c r="J415" s="15"/>
      <c r="K415" s="15"/>
      <c r="L415" s="15"/>
      <c r="M415" s="15"/>
      <c r="N415" t="str">
        <f t="shared" si="14"/>
        <v>PrerequisitesQuestions(ST)-Questions(CSOD)Active</v>
      </c>
      <c r="O415" t="b">
        <f t="shared" si="13"/>
        <v>0</v>
      </c>
      <c r="P415" t="b">
        <f>VLOOKUP(N415,'[1]Sheet1 (2)'!$L:$M,2,0)</f>
        <v>0</v>
      </c>
    </row>
    <row r="416" spans="1:16" ht="48" hidden="1" x14ac:dyDescent="0.2">
      <c r="A416" s="13" t="s">
        <v>410</v>
      </c>
      <c r="B416" s="13" t="s">
        <v>463</v>
      </c>
      <c r="C416" s="13" t="s">
        <v>437</v>
      </c>
      <c r="D416" s="15" t="s">
        <v>444</v>
      </c>
      <c r="E416" s="15" t="s">
        <v>17</v>
      </c>
      <c r="F416" s="15" t="s">
        <v>18</v>
      </c>
      <c r="G416" s="15"/>
      <c r="H416" s="22" t="b">
        <v>0</v>
      </c>
      <c r="I416" s="17" t="s">
        <v>19</v>
      </c>
      <c r="J416" s="15"/>
      <c r="K416" s="15"/>
      <c r="L416" s="15"/>
      <c r="M416" s="15"/>
      <c r="N416" t="str">
        <f t="shared" si="14"/>
        <v>PrerequisitesQuestions(ST)-Questions(CSOD)Randomize Answer Choices</v>
      </c>
      <c r="O416" t="b">
        <f t="shared" si="13"/>
        <v>0</v>
      </c>
      <c r="P416" t="b">
        <f>VLOOKUP(N416,'[1]Sheet1 (2)'!$L:$M,2,0)</f>
        <v>0</v>
      </c>
    </row>
    <row r="417" spans="1:16" hidden="1" x14ac:dyDescent="0.2">
      <c r="A417" s="13" t="s">
        <v>410</v>
      </c>
      <c r="B417" s="13" t="s">
        <v>463</v>
      </c>
      <c r="C417" s="13" t="s">
        <v>437</v>
      </c>
      <c r="D417" s="15" t="s">
        <v>445</v>
      </c>
      <c r="E417" s="15" t="s">
        <v>17</v>
      </c>
      <c r="F417" s="15" t="s">
        <v>11</v>
      </c>
      <c r="G417" s="15">
        <v>1000</v>
      </c>
      <c r="H417" s="15"/>
      <c r="I417" s="15"/>
      <c r="J417" s="15"/>
      <c r="K417" s="15"/>
      <c r="L417" s="15"/>
      <c r="M417" s="15"/>
      <c r="N417" t="str">
        <f t="shared" si="14"/>
        <v>PrerequisitesQuestions(ST)-Questions(CSOD)Answer Explanation</v>
      </c>
      <c r="O417" t="str">
        <f t="shared" si="13"/>
        <v/>
      </c>
      <c r="P417" t="str">
        <f>VLOOKUP(N417,'[1]Sheet1 (2)'!$L:$M,2,0)</f>
        <v/>
      </c>
    </row>
    <row r="418" spans="1:16" hidden="1" x14ac:dyDescent="0.2">
      <c r="A418" s="13" t="s">
        <v>410</v>
      </c>
      <c r="B418" s="13" t="s">
        <v>463</v>
      </c>
      <c r="C418" s="13" t="s">
        <v>437</v>
      </c>
      <c r="D418" s="15" t="s">
        <v>446</v>
      </c>
      <c r="E418" s="15" t="s">
        <v>17</v>
      </c>
      <c r="F418" s="15" t="s">
        <v>96</v>
      </c>
      <c r="G418" s="15"/>
      <c r="H418" s="15">
        <v>0</v>
      </c>
      <c r="I418" s="15"/>
      <c r="J418" s="15" t="s">
        <v>446</v>
      </c>
      <c r="K418" s="15" t="s">
        <v>25</v>
      </c>
      <c r="L418" s="15"/>
      <c r="M418" s="15"/>
      <c r="N418" t="str">
        <f t="shared" si="14"/>
        <v>PrerequisitesQuestions(ST)-Questions(CSOD)# of Answer Choices</v>
      </c>
      <c r="O418">
        <f t="shared" si="13"/>
        <v>0</v>
      </c>
      <c r="P418">
        <f>VLOOKUP(N418,'[1]Sheet1 (2)'!$L:$M,2,0)</f>
        <v>0</v>
      </c>
    </row>
    <row r="419" spans="1:16" ht="48" hidden="1" x14ac:dyDescent="0.2">
      <c r="A419" s="13" t="s">
        <v>410</v>
      </c>
      <c r="B419" s="13" t="s">
        <v>463</v>
      </c>
      <c r="C419" s="13" t="s">
        <v>437</v>
      </c>
      <c r="D419" s="15" t="s">
        <v>447</v>
      </c>
      <c r="E419" s="15" t="s">
        <v>17</v>
      </c>
      <c r="F419" s="15" t="s">
        <v>18</v>
      </c>
      <c r="G419" s="15"/>
      <c r="H419" s="22" t="b">
        <v>0</v>
      </c>
      <c r="I419" s="17" t="s">
        <v>19</v>
      </c>
      <c r="J419" s="15" t="s">
        <v>447</v>
      </c>
      <c r="K419" s="15" t="s">
        <v>25</v>
      </c>
      <c r="L419" s="15"/>
      <c r="M419" s="15"/>
      <c r="N419" t="str">
        <f t="shared" si="14"/>
        <v>PrerequisitesQuestions(ST)-Questions(CSOD)All of the Above</v>
      </c>
      <c r="O419" t="b">
        <f t="shared" si="13"/>
        <v>0</v>
      </c>
      <c r="P419" t="b">
        <f>VLOOKUP(N419,'[1]Sheet1 (2)'!$L:$M,2,0)</f>
        <v>0</v>
      </c>
    </row>
    <row r="420" spans="1:16" ht="48" hidden="1" x14ac:dyDescent="0.2">
      <c r="A420" s="13" t="s">
        <v>410</v>
      </c>
      <c r="B420" s="13" t="s">
        <v>463</v>
      </c>
      <c r="C420" s="13" t="s">
        <v>437</v>
      </c>
      <c r="D420" s="15" t="s">
        <v>448</v>
      </c>
      <c r="E420" s="15" t="s">
        <v>17</v>
      </c>
      <c r="F420" s="15" t="s">
        <v>18</v>
      </c>
      <c r="G420" s="15"/>
      <c r="H420" s="22" t="b">
        <v>0</v>
      </c>
      <c r="I420" s="17" t="s">
        <v>19</v>
      </c>
      <c r="J420" s="15" t="s">
        <v>448</v>
      </c>
      <c r="K420" s="15" t="s">
        <v>25</v>
      </c>
      <c r="L420" s="15"/>
      <c r="M420" s="15"/>
      <c r="N420" t="str">
        <f t="shared" si="14"/>
        <v>PrerequisitesQuestions(ST)-Questions(CSOD)None of the Above</v>
      </c>
      <c r="O420" t="b">
        <f t="shared" si="13"/>
        <v>0</v>
      </c>
      <c r="P420" t="b">
        <f>VLOOKUP(N420,'[1]Sheet1 (2)'!$L:$M,2,0)</f>
        <v>0</v>
      </c>
    </row>
    <row r="421" spans="1:16" hidden="1" x14ac:dyDescent="0.2">
      <c r="A421" s="13" t="s">
        <v>410</v>
      </c>
      <c r="B421" s="13" t="s">
        <v>463</v>
      </c>
      <c r="C421" s="13" t="s">
        <v>437</v>
      </c>
      <c r="D421" s="15" t="s">
        <v>449</v>
      </c>
      <c r="E421" s="15" t="s">
        <v>17</v>
      </c>
      <c r="F421" s="15" t="s">
        <v>11</v>
      </c>
      <c r="G421" s="15">
        <v>500</v>
      </c>
      <c r="H421" s="15"/>
      <c r="I421" s="15"/>
      <c r="J421" s="15" t="s">
        <v>449</v>
      </c>
      <c r="K421" s="15" t="s">
        <v>13</v>
      </c>
      <c r="L421" s="15"/>
      <c r="M421" s="15"/>
      <c r="N421" t="str">
        <f t="shared" si="14"/>
        <v>PrerequisitesQuestions(ST)-Questions(CSOD)Answer 1</v>
      </c>
      <c r="O421" t="str">
        <f t="shared" si="13"/>
        <v/>
      </c>
      <c r="P421" t="str">
        <f>VLOOKUP(N421,'[1]Sheet1 (2)'!$L:$M,2,0)</f>
        <v/>
      </c>
    </row>
    <row r="422" spans="1:16" hidden="1" x14ac:dyDescent="0.2">
      <c r="A422" s="13" t="s">
        <v>410</v>
      </c>
      <c r="B422" s="13" t="s">
        <v>463</v>
      </c>
      <c r="C422" s="13" t="s">
        <v>437</v>
      </c>
      <c r="D422" s="15" t="s">
        <v>450</v>
      </c>
      <c r="E422" s="15" t="s">
        <v>17</v>
      </c>
      <c r="F422" s="15" t="s">
        <v>11</v>
      </c>
      <c r="G422" s="15">
        <v>500</v>
      </c>
      <c r="H422" s="15"/>
      <c r="I422" s="15"/>
      <c r="J422" s="15" t="s">
        <v>450</v>
      </c>
      <c r="K422" s="15" t="s">
        <v>13</v>
      </c>
      <c r="L422" s="15"/>
      <c r="M422" s="15"/>
      <c r="N422" t="str">
        <f t="shared" si="14"/>
        <v>PrerequisitesQuestions(ST)-Questions(CSOD)Answer 2</v>
      </c>
      <c r="O422" t="str">
        <f t="shared" si="13"/>
        <v/>
      </c>
      <c r="P422" t="str">
        <f>VLOOKUP(N422,'[1]Sheet1 (2)'!$L:$M,2,0)</f>
        <v/>
      </c>
    </row>
    <row r="423" spans="1:16" hidden="1" x14ac:dyDescent="0.2">
      <c r="A423" s="13" t="s">
        <v>410</v>
      </c>
      <c r="B423" s="13" t="s">
        <v>463</v>
      </c>
      <c r="C423" s="13" t="s">
        <v>437</v>
      </c>
      <c r="D423" s="15" t="s">
        <v>451</v>
      </c>
      <c r="E423" s="15" t="s">
        <v>17</v>
      </c>
      <c r="F423" s="15" t="s">
        <v>11</v>
      </c>
      <c r="G423" s="15">
        <v>500</v>
      </c>
      <c r="H423" s="15"/>
      <c r="I423" s="15"/>
      <c r="J423" s="15" t="s">
        <v>451</v>
      </c>
      <c r="K423" s="15" t="s">
        <v>13</v>
      </c>
      <c r="L423" s="15"/>
      <c r="M423" s="15"/>
      <c r="N423" t="str">
        <f t="shared" si="14"/>
        <v>PrerequisitesQuestions(ST)-Questions(CSOD)Answer 3</v>
      </c>
      <c r="O423" t="str">
        <f t="shared" si="13"/>
        <v/>
      </c>
      <c r="P423" t="str">
        <f>VLOOKUP(N423,'[1]Sheet1 (2)'!$L:$M,2,0)</f>
        <v/>
      </c>
    </row>
    <row r="424" spans="1:16" hidden="1" x14ac:dyDescent="0.2">
      <c r="A424" s="13" t="s">
        <v>410</v>
      </c>
      <c r="B424" s="13" t="s">
        <v>463</v>
      </c>
      <c r="C424" s="13" t="s">
        <v>437</v>
      </c>
      <c r="D424" s="15" t="s">
        <v>452</v>
      </c>
      <c r="E424" s="15" t="s">
        <v>17</v>
      </c>
      <c r="F424" s="15" t="s">
        <v>11</v>
      </c>
      <c r="G424" s="15">
        <v>500</v>
      </c>
      <c r="H424" s="15"/>
      <c r="I424" s="15"/>
      <c r="J424" s="15" t="s">
        <v>452</v>
      </c>
      <c r="K424" s="15" t="s">
        <v>13</v>
      </c>
      <c r="L424" s="15"/>
      <c r="M424" s="15"/>
      <c r="N424" t="str">
        <f t="shared" si="14"/>
        <v>PrerequisitesQuestions(ST)-Questions(CSOD)Answer 4</v>
      </c>
      <c r="O424" t="str">
        <f t="shared" si="13"/>
        <v/>
      </c>
      <c r="P424" t="str">
        <f>VLOOKUP(N424,'[1]Sheet1 (2)'!$L:$M,2,0)</f>
        <v/>
      </c>
    </row>
    <row r="425" spans="1:16" hidden="1" x14ac:dyDescent="0.2">
      <c r="A425" s="13" t="s">
        <v>410</v>
      </c>
      <c r="B425" s="13" t="s">
        <v>463</v>
      </c>
      <c r="C425" s="13" t="s">
        <v>437</v>
      </c>
      <c r="D425" s="15" t="s">
        <v>453</v>
      </c>
      <c r="E425" s="15" t="s">
        <v>17</v>
      </c>
      <c r="F425" s="15" t="s">
        <v>11</v>
      </c>
      <c r="G425" s="15">
        <v>500</v>
      </c>
      <c r="H425" s="15"/>
      <c r="I425" s="15"/>
      <c r="J425" s="15"/>
      <c r="K425" s="15"/>
      <c r="L425" s="15"/>
      <c r="M425" s="15"/>
      <c r="N425" t="str">
        <f t="shared" si="14"/>
        <v>PrerequisitesQuestions(ST)-Questions(CSOD)Answer 5</v>
      </c>
      <c r="O425" t="str">
        <f t="shared" si="13"/>
        <v/>
      </c>
      <c r="P425" t="str">
        <f>VLOOKUP(N425,'[1]Sheet1 (2)'!$L:$M,2,0)</f>
        <v/>
      </c>
    </row>
    <row r="426" spans="1:16" hidden="1" x14ac:dyDescent="0.2">
      <c r="A426" s="13" t="s">
        <v>410</v>
      </c>
      <c r="B426" s="13" t="s">
        <v>463</v>
      </c>
      <c r="C426" s="13" t="s">
        <v>437</v>
      </c>
      <c r="D426" s="15" t="s">
        <v>454</v>
      </c>
      <c r="E426" s="15" t="s">
        <v>17</v>
      </c>
      <c r="F426" s="15" t="s">
        <v>11</v>
      </c>
      <c r="G426" s="15">
        <v>500</v>
      </c>
      <c r="H426" s="15"/>
      <c r="I426" s="15"/>
      <c r="J426" s="15"/>
      <c r="K426" s="15"/>
      <c r="L426" s="15"/>
      <c r="M426" s="15"/>
      <c r="N426" t="str">
        <f t="shared" si="14"/>
        <v>PrerequisitesQuestions(ST)-Questions(CSOD)Answer 6</v>
      </c>
      <c r="O426" t="str">
        <f t="shared" si="13"/>
        <v/>
      </c>
      <c r="P426" t="str">
        <f>VLOOKUP(N426,'[1]Sheet1 (2)'!$L:$M,2,0)</f>
        <v/>
      </c>
    </row>
    <row r="427" spans="1:16" hidden="1" x14ac:dyDescent="0.2">
      <c r="A427" s="13" t="s">
        <v>410</v>
      </c>
      <c r="B427" s="13" t="s">
        <v>463</v>
      </c>
      <c r="C427" s="13" t="s">
        <v>437</v>
      </c>
      <c r="D427" s="15" t="s">
        <v>455</v>
      </c>
      <c r="E427" s="15" t="s">
        <v>17</v>
      </c>
      <c r="F427" s="15" t="s">
        <v>11</v>
      </c>
      <c r="G427" s="15">
        <v>500</v>
      </c>
      <c r="H427" s="15"/>
      <c r="I427" s="15"/>
      <c r="J427" s="15"/>
      <c r="K427" s="15"/>
      <c r="L427" s="15"/>
      <c r="M427" s="15"/>
      <c r="N427" t="str">
        <f t="shared" si="14"/>
        <v>PrerequisitesQuestions(ST)-Questions(CSOD)Answer 7</v>
      </c>
      <c r="O427" t="str">
        <f t="shared" si="13"/>
        <v/>
      </c>
      <c r="P427" t="str">
        <f>VLOOKUP(N427,'[1]Sheet1 (2)'!$L:$M,2,0)</f>
        <v/>
      </c>
    </row>
    <row r="428" spans="1:16" hidden="1" x14ac:dyDescent="0.2">
      <c r="A428" s="13" t="s">
        <v>410</v>
      </c>
      <c r="B428" s="13" t="s">
        <v>463</v>
      </c>
      <c r="C428" s="13" t="s">
        <v>437</v>
      </c>
      <c r="D428" s="15" t="s">
        <v>456</v>
      </c>
      <c r="E428" s="15" t="s">
        <v>17</v>
      </c>
      <c r="F428" s="15" t="s">
        <v>11</v>
      </c>
      <c r="G428" s="15">
        <v>500</v>
      </c>
      <c r="H428" s="15"/>
      <c r="I428" s="15"/>
      <c r="J428" s="15"/>
      <c r="K428" s="15"/>
      <c r="L428" s="15"/>
      <c r="M428" s="15"/>
      <c r="N428" t="str">
        <f t="shared" si="14"/>
        <v>PrerequisitesQuestions(ST)-Questions(CSOD)Answer 8</v>
      </c>
      <c r="O428" t="str">
        <f t="shared" si="13"/>
        <v/>
      </c>
      <c r="P428" t="str">
        <f>VLOOKUP(N428,'[1]Sheet1 (2)'!$L:$M,2,0)</f>
        <v/>
      </c>
    </row>
    <row r="429" spans="1:16" hidden="1" x14ac:dyDescent="0.2">
      <c r="A429" s="13" t="s">
        <v>410</v>
      </c>
      <c r="B429" s="13" t="s">
        <v>463</v>
      </c>
      <c r="C429" s="13" t="s">
        <v>437</v>
      </c>
      <c r="D429" s="15" t="s">
        <v>457</v>
      </c>
      <c r="E429" s="15" t="s">
        <v>17</v>
      </c>
      <c r="F429" s="15" t="s">
        <v>11</v>
      </c>
      <c r="G429" s="15">
        <v>500</v>
      </c>
      <c r="H429" s="15"/>
      <c r="I429" s="15"/>
      <c r="J429" s="15"/>
      <c r="K429" s="15"/>
      <c r="L429" s="15"/>
      <c r="M429" s="15"/>
      <c r="N429" t="str">
        <f t="shared" si="14"/>
        <v>PrerequisitesQuestions(ST)-Questions(CSOD)Answer 9</v>
      </c>
      <c r="O429" t="str">
        <f t="shared" si="13"/>
        <v/>
      </c>
      <c r="P429" t="str">
        <f>VLOOKUP(N429,'[1]Sheet1 (2)'!$L:$M,2,0)</f>
        <v/>
      </c>
    </row>
    <row r="430" spans="1:16" hidden="1" x14ac:dyDescent="0.2">
      <c r="A430" s="13" t="s">
        <v>410</v>
      </c>
      <c r="B430" s="13" t="s">
        <v>463</v>
      </c>
      <c r="C430" s="13" t="s">
        <v>437</v>
      </c>
      <c r="D430" s="15" t="s">
        <v>458</v>
      </c>
      <c r="E430" s="15" t="s">
        <v>17</v>
      </c>
      <c r="F430" s="15" t="s">
        <v>11</v>
      </c>
      <c r="G430" s="15">
        <v>500</v>
      </c>
      <c r="H430" s="15"/>
      <c r="I430" s="15"/>
      <c r="J430" s="15"/>
      <c r="K430" s="15"/>
      <c r="L430" s="15"/>
      <c r="M430" s="15"/>
      <c r="N430" t="str">
        <f t="shared" si="14"/>
        <v>PrerequisitesQuestions(ST)-Questions(CSOD)Answer 10</v>
      </c>
      <c r="O430" t="str">
        <f t="shared" si="13"/>
        <v/>
      </c>
      <c r="P430" t="str">
        <f>VLOOKUP(N430,'[1]Sheet1 (2)'!$L:$M,2,0)</f>
        <v/>
      </c>
    </row>
    <row r="431" spans="1:16" hidden="1" x14ac:dyDescent="0.2">
      <c r="A431" s="13" t="s">
        <v>410</v>
      </c>
      <c r="B431" s="13" t="s">
        <v>463</v>
      </c>
      <c r="C431" s="13" t="s">
        <v>437</v>
      </c>
      <c r="D431" s="15" t="s">
        <v>459</v>
      </c>
      <c r="E431" s="15" t="s">
        <v>17</v>
      </c>
      <c r="F431" s="15" t="s">
        <v>11</v>
      </c>
      <c r="G431" s="15">
        <v>200</v>
      </c>
      <c r="H431" s="15"/>
      <c r="I431" s="15"/>
      <c r="J431" s="15"/>
      <c r="K431" s="15"/>
      <c r="L431" s="15"/>
      <c r="M431" s="15"/>
      <c r="N431" t="str">
        <f t="shared" si="14"/>
        <v>PrerequisitesQuestions(ST)-Questions(CSOD)Image Filename</v>
      </c>
      <c r="O431" t="str">
        <f t="shared" si="13"/>
        <v/>
      </c>
      <c r="P431" t="str">
        <f>VLOOKUP(N431,'[1]Sheet1 (2)'!$L:$M,2,0)</f>
        <v/>
      </c>
    </row>
    <row r="432" spans="1:16" hidden="1" x14ac:dyDescent="0.2">
      <c r="A432" s="13" t="s">
        <v>410</v>
      </c>
      <c r="B432" s="13" t="s">
        <v>463</v>
      </c>
      <c r="C432" s="13" t="s">
        <v>437</v>
      </c>
      <c r="D432" s="15" t="s">
        <v>460</v>
      </c>
      <c r="E432" s="15" t="s">
        <v>17</v>
      </c>
      <c r="F432" s="15" t="s">
        <v>11</v>
      </c>
      <c r="G432" s="15">
        <v>2000</v>
      </c>
      <c r="H432" s="15"/>
      <c r="I432" s="15"/>
      <c r="J432" s="15"/>
      <c r="K432" s="15"/>
      <c r="L432" s="15"/>
      <c r="M432" s="15"/>
      <c r="N432" t="str">
        <f t="shared" si="14"/>
        <v>PrerequisitesQuestions(ST)-Questions(CSOD)Answer Coordinates</v>
      </c>
      <c r="O432" t="str">
        <f t="shared" si="13"/>
        <v/>
      </c>
      <c r="P432" t="str">
        <f>VLOOKUP(N432,'[1]Sheet1 (2)'!$L:$M,2,0)</f>
        <v/>
      </c>
    </row>
    <row r="433" spans="1:16" ht="48" hidden="1" x14ac:dyDescent="0.2">
      <c r="A433" s="13" t="s">
        <v>410</v>
      </c>
      <c r="B433" s="13" t="s">
        <v>463</v>
      </c>
      <c r="C433" s="13" t="s">
        <v>437</v>
      </c>
      <c r="D433" s="15" t="s">
        <v>461</v>
      </c>
      <c r="E433" s="15" t="s">
        <v>17</v>
      </c>
      <c r="F433" s="15" t="s">
        <v>18</v>
      </c>
      <c r="G433" s="15"/>
      <c r="H433" s="15"/>
      <c r="I433" s="17" t="s">
        <v>19</v>
      </c>
      <c r="J433" s="15"/>
      <c r="K433" s="15"/>
      <c r="L433" s="15"/>
      <c r="M433" s="15"/>
      <c r="N433" t="str">
        <f t="shared" si="14"/>
        <v>PrerequisitesQuestions(ST)-Questions(CSOD)Apply partial scoring</v>
      </c>
      <c r="O433" t="str">
        <f t="shared" si="13"/>
        <v/>
      </c>
      <c r="P433" t="str">
        <f>VLOOKUP(N433,'[1]Sheet1 (2)'!$L:$M,2,0)</f>
        <v/>
      </c>
    </row>
    <row r="434" spans="1:16" hidden="1" x14ac:dyDescent="0.2">
      <c r="A434" s="13" t="s">
        <v>410</v>
      </c>
      <c r="B434" s="13" t="s">
        <v>463</v>
      </c>
      <c r="C434" s="13" t="s">
        <v>437</v>
      </c>
      <c r="D434" s="15" t="s">
        <v>462</v>
      </c>
      <c r="E434" s="15" t="s">
        <v>17</v>
      </c>
      <c r="F434" s="15" t="s">
        <v>11</v>
      </c>
      <c r="G434" s="15">
        <v>128</v>
      </c>
      <c r="H434" s="15"/>
      <c r="I434" s="15"/>
      <c r="J434" s="15"/>
      <c r="K434" s="15"/>
      <c r="L434" s="15"/>
      <c r="M434" s="15"/>
      <c r="N434" t="str">
        <f t="shared" si="14"/>
        <v>PrerequisitesQuestions(ST)-Questions(CSOD)Author</v>
      </c>
      <c r="O434" t="str">
        <f t="shared" si="13"/>
        <v/>
      </c>
      <c r="P434" t="str">
        <f>VLOOKUP(N434,'[1]Sheet1 (2)'!$L:$M,2,0)</f>
        <v/>
      </c>
    </row>
    <row r="435" spans="1:16" hidden="1" x14ac:dyDescent="0.2">
      <c r="A435" s="13" t="s">
        <v>488</v>
      </c>
      <c r="B435" s="13" t="s">
        <v>93</v>
      </c>
      <c r="C435" s="13" t="s">
        <v>464</v>
      </c>
      <c r="D435" s="15" t="s">
        <v>330</v>
      </c>
      <c r="E435" s="15" t="s">
        <v>10</v>
      </c>
      <c r="F435" s="15" t="s">
        <v>11</v>
      </c>
      <c r="G435" s="15">
        <v>128</v>
      </c>
      <c r="H435" s="15"/>
      <c r="I435" s="15"/>
      <c r="J435" s="15" t="s">
        <v>465</v>
      </c>
      <c r="K435" s="15" t="s">
        <v>13</v>
      </c>
      <c r="L435" s="15">
        <v>50</v>
      </c>
      <c r="M435" s="15"/>
      <c r="N435" t="str">
        <f t="shared" si="14"/>
        <v>TranscriptCurriculumRoster(ST)-CurriculumTranscript(CSOD)User ID*</v>
      </c>
      <c r="O435" t="str">
        <f t="shared" si="13"/>
        <v/>
      </c>
      <c r="P435" t="str">
        <f>VLOOKUP(N435,'[1]Sheet1 (2)'!$L:$M,2,0)</f>
        <v/>
      </c>
    </row>
    <row r="436" spans="1:16" hidden="1" x14ac:dyDescent="0.2">
      <c r="A436" s="13" t="s">
        <v>488</v>
      </c>
      <c r="B436" s="13" t="s">
        <v>93</v>
      </c>
      <c r="C436" s="13" t="s">
        <v>464</v>
      </c>
      <c r="D436" s="15" t="s">
        <v>47</v>
      </c>
      <c r="E436" s="15" t="s">
        <v>10</v>
      </c>
      <c r="F436" s="15" t="s">
        <v>11</v>
      </c>
      <c r="G436" s="15">
        <v>100</v>
      </c>
      <c r="H436" s="15"/>
      <c r="I436" s="15"/>
      <c r="J436" s="15" t="s">
        <v>94</v>
      </c>
      <c r="K436" s="15" t="s">
        <v>13</v>
      </c>
      <c r="L436" s="15">
        <v>255</v>
      </c>
      <c r="M436" s="15"/>
      <c r="N436" t="str">
        <f t="shared" si="14"/>
        <v>TranscriptCurriculumRoster(ST)-CurriculumTranscript(CSOD)Curriculum ID*</v>
      </c>
      <c r="O436" t="str">
        <f t="shared" si="13"/>
        <v/>
      </c>
      <c r="P436" t="str">
        <f>VLOOKUP(N436,'[1]Sheet1 (2)'!$L:$M,2,0)</f>
        <v/>
      </c>
    </row>
    <row r="437" spans="1:16" hidden="1" x14ac:dyDescent="0.2">
      <c r="A437" s="13" t="s">
        <v>488</v>
      </c>
      <c r="B437" s="13" t="s">
        <v>93</v>
      </c>
      <c r="C437" s="13" t="s">
        <v>464</v>
      </c>
      <c r="D437" s="15" t="s">
        <v>466</v>
      </c>
      <c r="E437" s="15" t="s">
        <v>10</v>
      </c>
      <c r="F437" s="15" t="s">
        <v>11</v>
      </c>
      <c r="G437" s="15"/>
      <c r="H437" s="15"/>
      <c r="I437" s="15"/>
      <c r="J437" s="15" t="s">
        <v>467</v>
      </c>
      <c r="K437" s="15" t="s">
        <v>64</v>
      </c>
      <c r="L437" s="15">
        <v>50</v>
      </c>
      <c r="M437" s="15"/>
      <c r="N437" t="str">
        <f t="shared" si="14"/>
        <v>TranscriptCurriculumRoster(ST)-CurriculumTranscript(CSOD)Transcript Status*</v>
      </c>
      <c r="O437" t="str">
        <f t="shared" si="13"/>
        <v/>
      </c>
      <c r="P437" t="str">
        <f>VLOOKUP(N437,'[1]Sheet1 (2)'!$L:$M,2,0)</f>
        <v/>
      </c>
    </row>
    <row r="438" spans="1:16" hidden="1" x14ac:dyDescent="0.2">
      <c r="A438" s="13" t="s">
        <v>488</v>
      </c>
      <c r="B438" s="13" t="s">
        <v>93</v>
      </c>
      <c r="C438" s="13" t="s">
        <v>464</v>
      </c>
      <c r="D438" s="15" t="s">
        <v>468</v>
      </c>
      <c r="E438" s="15" t="s">
        <v>10</v>
      </c>
      <c r="F438" s="15" t="s">
        <v>140</v>
      </c>
      <c r="G438" s="15"/>
      <c r="H438" s="15"/>
      <c r="I438" s="15"/>
      <c r="J438" s="15" t="s">
        <v>469</v>
      </c>
      <c r="K438" s="15" t="s">
        <v>140</v>
      </c>
      <c r="L438" s="15"/>
      <c r="M438" s="15"/>
      <c r="N438" t="str">
        <f t="shared" si="14"/>
        <v>TranscriptCurriculumRoster(ST)-CurriculumTranscript(CSOD)Request Date/Time*</v>
      </c>
      <c r="O438" t="str">
        <f t="shared" si="13"/>
        <v/>
      </c>
      <c r="P438" t="str">
        <f>VLOOKUP(N438,'[1]Sheet1 (2)'!$L:$M,2,0)</f>
        <v/>
      </c>
    </row>
    <row r="439" spans="1:16" hidden="1" x14ac:dyDescent="0.2">
      <c r="A439" s="13" t="s">
        <v>488</v>
      </c>
      <c r="B439" s="13" t="s">
        <v>93</v>
      </c>
      <c r="C439" s="13" t="s">
        <v>464</v>
      </c>
      <c r="D439" s="15" t="s">
        <v>470</v>
      </c>
      <c r="E439" s="15" t="s">
        <v>10</v>
      </c>
      <c r="F439" s="15" t="s">
        <v>140</v>
      </c>
      <c r="G439" s="15"/>
      <c r="H439" s="15"/>
      <c r="I439" s="15"/>
      <c r="J439" s="15" t="s">
        <v>469</v>
      </c>
      <c r="K439" s="15" t="s">
        <v>140</v>
      </c>
      <c r="L439" s="15"/>
      <c r="M439" s="15"/>
      <c r="N439" t="str">
        <f t="shared" si="14"/>
        <v>TranscriptCurriculumRoster(ST)-CurriculumTranscript(CSOD)Registration Date/Time*</v>
      </c>
      <c r="O439" t="str">
        <f t="shared" si="13"/>
        <v/>
      </c>
      <c r="P439" t="str">
        <f>VLOOKUP(N439,'[1]Sheet1 (2)'!$L:$M,2,0)</f>
        <v/>
      </c>
    </row>
    <row r="440" spans="1:16" hidden="1" x14ac:dyDescent="0.2">
      <c r="A440" s="13" t="s">
        <v>488</v>
      </c>
      <c r="B440" s="13" t="s">
        <v>93</v>
      </c>
      <c r="C440" s="13" t="s">
        <v>464</v>
      </c>
      <c r="D440" s="15" t="s">
        <v>471</v>
      </c>
      <c r="E440" s="15" t="s">
        <v>17</v>
      </c>
      <c r="F440" s="15" t="s">
        <v>85</v>
      </c>
      <c r="G440" s="15"/>
      <c r="H440" s="15"/>
      <c r="I440" s="17" t="s">
        <v>472</v>
      </c>
      <c r="J440" s="15"/>
      <c r="K440" s="15"/>
      <c r="L440" s="15"/>
      <c r="M440" s="15"/>
      <c r="N440" t="str">
        <f t="shared" si="14"/>
        <v>TranscriptCurriculumRoster(ST)-CurriculumTranscript(CSOD)Transcript Action</v>
      </c>
      <c r="O440" t="str">
        <f t="shared" si="13"/>
        <v/>
      </c>
      <c r="P440" t="str">
        <f>VLOOKUP(N440,'[1]Sheet1 (2)'!$L:$M,2,0)</f>
        <v/>
      </c>
    </row>
    <row r="441" spans="1:16" hidden="1" x14ac:dyDescent="0.2">
      <c r="A441" s="13" t="s">
        <v>488</v>
      </c>
      <c r="B441" s="13" t="s">
        <v>93</v>
      </c>
      <c r="C441" s="13" t="s">
        <v>464</v>
      </c>
      <c r="D441" s="15" t="s">
        <v>473</v>
      </c>
      <c r="E441" s="15" t="s">
        <v>17</v>
      </c>
      <c r="F441" s="15" t="s">
        <v>140</v>
      </c>
      <c r="G441" s="15"/>
      <c r="H441" s="15"/>
      <c r="I441" s="15"/>
      <c r="J441" s="15" t="s">
        <v>474</v>
      </c>
      <c r="K441" s="15" t="s">
        <v>140</v>
      </c>
      <c r="L441" s="15"/>
      <c r="M441" s="15"/>
      <c r="N441" t="str">
        <f t="shared" si="14"/>
        <v>TranscriptCurriculumRoster(ST)-CurriculumTranscript(CSOD)Completion Date/Time</v>
      </c>
      <c r="O441" t="str">
        <f t="shared" si="13"/>
        <v/>
      </c>
      <c r="P441" t="str">
        <f>VLOOKUP(N441,'[1]Sheet1 (2)'!$L:$M,2,0)</f>
        <v/>
      </c>
    </row>
    <row r="442" spans="1:16" hidden="1" x14ac:dyDescent="0.2">
      <c r="A442" s="13" t="s">
        <v>488</v>
      </c>
      <c r="B442" s="13" t="s">
        <v>93</v>
      </c>
      <c r="C442" s="13" t="s">
        <v>464</v>
      </c>
      <c r="D442" s="15" t="s">
        <v>475</v>
      </c>
      <c r="E442" s="15" t="s">
        <v>17</v>
      </c>
      <c r="F442" s="15" t="s">
        <v>140</v>
      </c>
      <c r="G442" s="15"/>
      <c r="H442" s="15"/>
      <c r="I442" s="15"/>
      <c r="J442" s="15" t="s">
        <v>476</v>
      </c>
      <c r="K442" s="15" t="s">
        <v>140</v>
      </c>
      <c r="L442" s="15"/>
      <c r="M442" s="15"/>
      <c r="N442" t="str">
        <f t="shared" si="14"/>
        <v>TranscriptCurriculumRoster(ST)-CurriculumTranscript(CSOD)Due Date/Time‡</v>
      </c>
      <c r="O442" t="str">
        <f t="shared" si="13"/>
        <v/>
      </c>
      <c r="P442" t="str">
        <f>VLOOKUP(N442,'[1]Sheet1 (2)'!$L:$M,2,0)</f>
        <v/>
      </c>
    </row>
    <row r="443" spans="1:16" ht="48" hidden="1" x14ac:dyDescent="0.2">
      <c r="A443" s="13" t="s">
        <v>488</v>
      </c>
      <c r="B443" s="13" t="s">
        <v>93</v>
      </c>
      <c r="C443" s="13" t="s">
        <v>464</v>
      </c>
      <c r="D443" s="15" t="s">
        <v>477</v>
      </c>
      <c r="E443" s="15" t="s">
        <v>17</v>
      </c>
      <c r="F443" s="15" t="s">
        <v>18</v>
      </c>
      <c r="G443" s="15"/>
      <c r="H443" s="15" t="b">
        <v>0</v>
      </c>
      <c r="I443" s="17" t="s">
        <v>19</v>
      </c>
      <c r="J443" s="15"/>
      <c r="K443" s="15"/>
      <c r="L443" s="15"/>
      <c r="M443" s="15"/>
      <c r="N443" t="str">
        <f t="shared" si="14"/>
        <v>TranscriptCurriculumRoster(ST)-CurriculumTranscript(CSOD)Archived</v>
      </c>
      <c r="O443" t="b">
        <f t="shared" si="13"/>
        <v>0</v>
      </c>
      <c r="P443" t="b">
        <f>VLOOKUP(N443,'[1]Sheet1 (2)'!$L:$M,2,0)</f>
        <v>0</v>
      </c>
    </row>
    <row r="444" spans="1:16" hidden="1" x14ac:dyDescent="0.2">
      <c r="A444" s="13" t="s">
        <v>488</v>
      </c>
      <c r="B444" s="13" t="s">
        <v>93</v>
      </c>
      <c r="C444" s="13" t="s">
        <v>464</v>
      </c>
      <c r="D444" s="15" t="s">
        <v>478</v>
      </c>
      <c r="E444" s="15" t="s">
        <v>17</v>
      </c>
      <c r="F444" s="15" t="s">
        <v>11</v>
      </c>
      <c r="G444" s="15"/>
      <c r="H444" s="15"/>
      <c r="I444" s="15"/>
      <c r="J444" s="15"/>
      <c r="K444" s="15"/>
      <c r="L444" s="15"/>
      <c r="M444" s="15"/>
      <c r="N444" t="str">
        <f t="shared" si="14"/>
        <v>TranscriptCurriculumRoster(ST)-CurriculumTranscript(CSOD)User Exempt Reason</v>
      </c>
      <c r="O444" t="str">
        <f t="shared" si="13"/>
        <v/>
      </c>
      <c r="P444" t="str">
        <f>VLOOKUP(N444,'[1]Sheet1 (2)'!$L:$M,2,0)</f>
        <v/>
      </c>
    </row>
    <row r="445" spans="1:16" hidden="1" x14ac:dyDescent="0.2">
      <c r="A445" s="13" t="s">
        <v>488</v>
      </c>
      <c r="B445" s="13" t="s">
        <v>93</v>
      </c>
      <c r="C445" s="13" t="s">
        <v>464</v>
      </c>
      <c r="D445" s="15" t="s">
        <v>479</v>
      </c>
      <c r="E445" s="15" t="s">
        <v>17</v>
      </c>
      <c r="F445" s="15" t="s">
        <v>11</v>
      </c>
      <c r="G445" s="15"/>
      <c r="H445" s="15"/>
      <c r="I445" s="15"/>
      <c r="J445" s="15"/>
      <c r="K445" s="15"/>
      <c r="L445" s="15"/>
      <c r="M445" s="15"/>
      <c r="N445" t="str">
        <f t="shared" si="14"/>
        <v>TranscriptCurriculumRoster(ST)-CurriculumTranscript(CSOD)Approver Exempt Reason</v>
      </c>
      <c r="O445" t="str">
        <f t="shared" si="13"/>
        <v/>
      </c>
      <c r="P445" t="str">
        <f>VLOOKUP(N445,'[1]Sheet1 (2)'!$L:$M,2,0)</f>
        <v/>
      </c>
    </row>
    <row r="446" spans="1:16" hidden="1" x14ac:dyDescent="0.2">
      <c r="A446" s="13" t="s">
        <v>488</v>
      </c>
      <c r="B446" s="13" t="s">
        <v>93</v>
      </c>
      <c r="C446" s="13" t="s">
        <v>464</v>
      </c>
      <c r="D446" s="15" t="s">
        <v>480</v>
      </c>
      <c r="E446" s="15" t="s">
        <v>17</v>
      </c>
      <c r="F446" s="15" t="s">
        <v>11</v>
      </c>
      <c r="G446" s="15">
        <v>100</v>
      </c>
      <c r="H446" s="15"/>
      <c r="I446" s="15"/>
      <c r="J446" s="15"/>
      <c r="K446" s="15"/>
      <c r="L446" s="15"/>
      <c r="M446" s="15"/>
      <c r="N446" t="str">
        <f t="shared" si="14"/>
        <v>TranscriptCurriculumRoster(ST)-CurriculumTranscript(CSOD)User's Exemption Comments</v>
      </c>
      <c r="O446" t="str">
        <f t="shared" si="13"/>
        <v/>
      </c>
      <c r="P446" t="str">
        <f>VLOOKUP(N446,'[1]Sheet1 (2)'!$L:$M,2,0)</f>
        <v/>
      </c>
    </row>
    <row r="447" spans="1:16" hidden="1" x14ac:dyDescent="0.2">
      <c r="A447" s="13" t="s">
        <v>488</v>
      </c>
      <c r="B447" s="13" t="s">
        <v>93</v>
      </c>
      <c r="C447" s="13" t="s">
        <v>464</v>
      </c>
      <c r="D447" s="15" t="s">
        <v>481</v>
      </c>
      <c r="E447" s="15" t="s">
        <v>17</v>
      </c>
      <c r="F447" s="15" t="s">
        <v>11</v>
      </c>
      <c r="G447" s="15">
        <v>100</v>
      </c>
      <c r="H447" s="15"/>
      <c r="I447" s="15"/>
      <c r="J447" s="15"/>
      <c r="K447" s="15"/>
      <c r="L447" s="15"/>
      <c r="M447" s="15"/>
      <c r="N447" t="str">
        <f t="shared" si="14"/>
        <v>TranscriptCurriculumRoster(ST)-CurriculumTranscript(CSOD)Approver's Exemption Comments</v>
      </c>
      <c r="O447" t="str">
        <f t="shared" si="13"/>
        <v/>
      </c>
      <c r="P447" t="str">
        <f>VLOOKUP(N447,'[1]Sheet1 (2)'!$L:$M,2,0)</f>
        <v/>
      </c>
    </row>
    <row r="448" spans="1:16" hidden="1" x14ac:dyDescent="0.2">
      <c r="A448" s="13" t="s">
        <v>488</v>
      </c>
      <c r="B448" s="13" t="s">
        <v>93</v>
      </c>
      <c r="C448" s="13" t="s">
        <v>464</v>
      </c>
      <c r="D448" s="15" t="s">
        <v>482</v>
      </c>
      <c r="E448" s="15" t="s">
        <v>17</v>
      </c>
      <c r="F448" s="15" t="s">
        <v>11</v>
      </c>
      <c r="G448" s="15">
        <v>128</v>
      </c>
      <c r="H448" s="15"/>
      <c r="I448" s="15"/>
      <c r="J448" s="15"/>
      <c r="K448" s="15"/>
      <c r="L448" s="15"/>
      <c r="M448" s="15"/>
      <c r="N448" t="str">
        <f t="shared" si="14"/>
        <v>TranscriptCurriculumRoster(ST)-CurriculumTranscript(CSOD)Exempt By</v>
      </c>
      <c r="O448" t="str">
        <f t="shared" si="13"/>
        <v/>
      </c>
      <c r="P448" t="str">
        <f>VLOOKUP(N448,'[1]Sheet1 (2)'!$L:$M,2,0)</f>
        <v/>
      </c>
    </row>
    <row r="449" spans="1:16" hidden="1" x14ac:dyDescent="0.2">
      <c r="A449" s="13" t="s">
        <v>488</v>
      </c>
      <c r="B449" s="13" t="s">
        <v>93</v>
      </c>
      <c r="C449" s="13" t="s">
        <v>464</v>
      </c>
      <c r="D449" s="15" t="s">
        <v>483</v>
      </c>
      <c r="E449" s="15" t="s">
        <v>17</v>
      </c>
      <c r="F449" s="15" t="s">
        <v>11</v>
      </c>
      <c r="G449" s="15">
        <v>245</v>
      </c>
      <c r="H449" s="15"/>
      <c r="I449" s="15"/>
      <c r="J449" s="15" t="s">
        <v>484</v>
      </c>
      <c r="K449" s="15" t="s">
        <v>13</v>
      </c>
      <c r="L449" s="15"/>
      <c r="M449" s="15"/>
      <c r="N449" t="str">
        <f t="shared" si="14"/>
        <v>TranscriptCurriculumRoster(ST)-CurriculumTranscript(CSOD)Comments</v>
      </c>
      <c r="O449" t="str">
        <f t="shared" si="13"/>
        <v/>
      </c>
      <c r="P449" t="str">
        <f>VLOOKUP(N449,'[1]Sheet1 (2)'!$L:$M,2,0)</f>
        <v/>
      </c>
    </row>
    <row r="450" spans="1:16" hidden="1" x14ac:dyDescent="0.2">
      <c r="A450" s="13" t="s">
        <v>488</v>
      </c>
      <c r="B450" s="13" t="s">
        <v>93</v>
      </c>
      <c r="C450" s="13" t="s">
        <v>464</v>
      </c>
      <c r="D450" s="15" t="s">
        <v>485</v>
      </c>
      <c r="E450" s="15" t="s">
        <v>17</v>
      </c>
      <c r="F450" s="15" t="s">
        <v>85</v>
      </c>
      <c r="G450" s="15"/>
      <c r="H450" s="15"/>
      <c r="I450" s="17" t="s">
        <v>486</v>
      </c>
      <c r="J450" s="15"/>
      <c r="K450" s="15"/>
      <c r="L450" s="15"/>
      <c r="M450" s="15"/>
      <c r="N450" t="str">
        <f t="shared" si="14"/>
        <v>TranscriptCurriculumRoster(ST)-CurriculumTranscript(CSOD)Training Points</v>
      </c>
      <c r="O450" t="str">
        <f t="shared" si="13"/>
        <v/>
      </c>
      <c r="P450" t="str">
        <f>VLOOKUP(N450,'[1]Sheet1 (2)'!$L:$M,2,0)</f>
        <v/>
      </c>
    </row>
    <row r="451" spans="1:16" hidden="1" x14ac:dyDescent="0.2">
      <c r="A451" s="13" t="s">
        <v>488</v>
      </c>
      <c r="B451" s="13" t="s">
        <v>93</v>
      </c>
      <c r="C451" s="13" t="s">
        <v>464</v>
      </c>
      <c r="D451" s="15" t="s">
        <v>487</v>
      </c>
      <c r="E451" s="15" t="s">
        <v>17</v>
      </c>
      <c r="F451" s="15" t="s">
        <v>85</v>
      </c>
      <c r="G451" s="15"/>
      <c r="H451" s="15"/>
      <c r="I451" s="17" t="s">
        <v>486</v>
      </c>
      <c r="J451" s="15"/>
      <c r="K451" s="15"/>
      <c r="L451" s="15"/>
      <c r="M451" s="15"/>
      <c r="N451" t="str">
        <f t="shared" si="14"/>
        <v>TranscriptCurriculumRoster(ST)-CurriculumTranscript(CSOD)Training Badge</v>
      </c>
      <c r="O451" t="str">
        <f t="shared" ref="O451:O514" si="15">IF(H451="","",H451)</f>
        <v/>
      </c>
      <c r="P451" t="str">
        <f>VLOOKUP(N451,'[1]Sheet1 (2)'!$L:$M,2,0)</f>
        <v/>
      </c>
    </row>
    <row r="452" spans="1:16" hidden="1" x14ac:dyDescent="0.2">
      <c r="A452" s="13" t="s">
        <v>488</v>
      </c>
      <c r="B452" s="13" t="s">
        <v>110</v>
      </c>
      <c r="C452" s="13" t="s">
        <v>489</v>
      </c>
      <c r="D452" s="15" t="s">
        <v>330</v>
      </c>
      <c r="E452" s="15" t="s">
        <v>10</v>
      </c>
      <c r="F452" s="15" t="s">
        <v>11</v>
      </c>
      <c r="G452" s="15">
        <v>128</v>
      </c>
      <c r="H452" s="15"/>
      <c r="I452" s="15"/>
      <c r="J452" s="15" t="s">
        <v>465</v>
      </c>
      <c r="K452" s="15" t="s">
        <v>13</v>
      </c>
      <c r="L452" s="15">
        <v>50</v>
      </c>
      <c r="M452" s="15"/>
      <c r="N452" t="str">
        <f t="shared" si="14"/>
        <v>TranscriptDocumentRoster(ST)-MaterialTranscript(CSOD)User ID*</v>
      </c>
      <c r="O452" t="str">
        <f t="shared" si="15"/>
        <v/>
      </c>
      <c r="P452" t="e">
        <f>VLOOKUP(N452,'[1]Sheet1 (2)'!$L:$M,2,0)</f>
        <v>#N/A</v>
      </c>
    </row>
    <row r="453" spans="1:16" hidden="1" x14ac:dyDescent="0.2">
      <c r="A453" s="13" t="s">
        <v>488</v>
      </c>
      <c r="B453" s="13" t="s">
        <v>110</v>
      </c>
      <c r="C453" s="13" t="s">
        <v>489</v>
      </c>
      <c r="D453" s="15" t="s">
        <v>107</v>
      </c>
      <c r="E453" s="15" t="s">
        <v>10</v>
      </c>
      <c r="F453" s="15" t="s">
        <v>11</v>
      </c>
      <c r="G453" s="15">
        <v>100</v>
      </c>
      <c r="H453" s="15"/>
      <c r="I453" s="15"/>
      <c r="J453" s="15" t="s">
        <v>94</v>
      </c>
      <c r="K453" s="15" t="s">
        <v>13</v>
      </c>
      <c r="L453" s="15">
        <v>255</v>
      </c>
      <c r="M453" s="15"/>
      <c r="N453" t="str">
        <f t="shared" si="14"/>
        <v>TranscriptDocumentRoster(ST)-MaterialTranscript(CSOD)Material ID*</v>
      </c>
      <c r="O453" t="str">
        <f t="shared" si="15"/>
        <v/>
      </c>
      <c r="P453" t="e">
        <f>VLOOKUP(N453,'[1]Sheet1 (2)'!$L:$M,2,0)</f>
        <v>#N/A</v>
      </c>
    </row>
    <row r="454" spans="1:16" hidden="1" x14ac:dyDescent="0.2">
      <c r="A454" s="13" t="s">
        <v>488</v>
      </c>
      <c r="B454" s="13" t="s">
        <v>110</v>
      </c>
      <c r="C454" s="13" t="s">
        <v>489</v>
      </c>
      <c r="D454" s="15" t="s">
        <v>466</v>
      </c>
      <c r="E454" s="15" t="s">
        <v>10</v>
      </c>
      <c r="F454" s="15" t="s">
        <v>11</v>
      </c>
      <c r="G454" s="15">
        <v>50</v>
      </c>
      <c r="H454" s="15"/>
      <c r="I454" s="15"/>
      <c r="J454" s="15" t="s">
        <v>490</v>
      </c>
      <c r="K454" s="15" t="s">
        <v>13</v>
      </c>
      <c r="L454" s="15">
        <v>50</v>
      </c>
      <c r="M454" s="15"/>
      <c r="N454" t="str">
        <f t="shared" si="14"/>
        <v>TranscriptDocumentRoster(ST)-MaterialTranscript(CSOD)Transcript Status*</v>
      </c>
      <c r="O454" t="str">
        <f t="shared" si="15"/>
        <v/>
      </c>
      <c r="P454" t="str">
        <f>VLOOKUP(N454,'[1]Sheet1 (2)'!$L:$M,2,0)</f>
        <v/>
      </c>
    </row>
    <row r="455" spans="1:16" hidden="1" x14ac:dyDescent="0.2">
      <c r="A455" s="13" t="s">
        <v>488</v>
      </c>
      <c r="B455" s="13" t="s">
        <v>110</v>
      </c>
      <c r="C455" s="13" t="s">
        <v>489</v>
      </c>
      <c r="D455" s="15" t="s">
        <v>468</v>
      </c>
      <c r="E455" s="15" t="s">
        <v>10</v>
      </c>
      <c r="F455" s="15" t="s">
        <v>140</v>
      </c>
      <c r="G455" s="15"/>
      <c r="H455" s="15"/>
      <c r="I455" s="15"/>
      <c r="J455" s="15" t="s">
        <v>469</v>
      </c>
      <c r="K455" s="15" t="s">
        <v>140</v>
      </c>
      <c r="L455" s="15"/>
      <c r="M455" s="15"/>
      <c r="N455" t="str">
        <f t="shared" ref="N455:N518" si="16">_xlfn.CONCAT(A455,C455,D455)</f>
        <v>TranscriptDocumentRoster(ST)-MaterialTranscript(CSOD)Request Date/Time*</v>
      </c>
      <c r="O455" t="str">
        <f t="shared" si="15"/>
        <v/>
      </c>
      <c r="P455" t="e">
        <f>VLOOKUP(N455,'[1]Sheet1 (2)'!$L:$M,2,0)</f>
        <v>#N/A</v>
      </c>
    </row>
    <row r="456" spans="1:16" hidden="1" x14ac:dyDescent="0.2">
      <c r="A456" s="13" t="s">
        <v>488</v>
      </c>
      <c r="B456" s="13" t="s">
        <v>110</v>
      </c>
      <c r="C456" s="13" t="s">
        <v>489</v>
      </c>
      <c r="D456" s="15" t="s">
        <v>470</v>
      </c>
      <c r="E456" s="15" t="s">
        <v>10</v>
      </c>
      <c r="F456" s="15" t="s">
        <v>140</v>
      </c>
      <c r="G456" s="15"/>
      <c r="H456" s="15"/>
      <c r="I456" s="15"/>
      <c r="J456" s="15" t="s">
        <v>469</v>
      </c>
      <c r="K456" s="15" t="s">
        <v>140</v>
      </c>
      <c r="L456" s="15"/>
      <c r="M456" s="15"/>
      <c r="N456" t="str">
        <f t="shared" si="16"/>
        <v>TranscriptDocumentRoster(ST)-MaterialTranscript(CSOD)Registration Date/Time*</v>
      </c>
      <c r="O456" t="str">
        <f t="shared" si="15"/>
        <v/>
      </c>
      <c r="P456" t="e">
        <f>VLOOKUP(N456,'[1]Sheet1 (2)'!$L:$M,2,0)</f>
        <v>#N/A</v>
      </c>
    </row>
    <row r="457" spans="1:16" hidden="1" x14ac:dyDescent="0.2">
      <c r="A457" s="13" t="s">
        <v>488</v>
      </c>
      <c r="B457" s="13" t="s">
        <v>110</v>
      </c>
      <c r="C457" s="13" t="s">
        <v>489</v>
      </c>
      <c r="D457" s="15" t="s">
        <v>471</v>
      </c>
      <c r="E457" s="15" t="s">
        <v>17</v>
      </c>
      <c r="F457" s="15" t="s">
        <v>85</v>
      </c>
      <c r="G457" s="15"/>
      <c r="H457" s="15"/>
      <c r="I457" s="17" t="s">
        <v>472</v>
      </c>
      <c r="J457" s="15"/>
      <c r="K457" s="15"/>
      <c r="L457" s="15"/>
      <c r="M457" s="15"/>
      <c r="N457" t="str">
        <f t="shared" si="16"/>
        <v>TranscriptDocumentRoster(ST)-MaterialTranscript(CSOD)Transcript Action</v>
      </c>
      <c r="O457" t="str">
        <f t="shared" si="15"/>
        <v/>
      </c>
      <c r="P457" t="e">
        <f>VLOOKUP(N457,'[1]Sheet1 (2)'!$L:$M,2,0)</f>
        <v>#N/A</v>
      </c>
    </row>
    <row r="458" spans="1:16" hidden="1" x14ac:dyDescent="0.2">
      <c r="A458" s="13" t="s">
        <v>488</v>
      </c>
      <c r="B458" s="13" t="s">
        <v>110</v>
      </c>
      <c r="C458" s="13" t="s">
        <v>489</v>
      </c>
      <c r="D458" s="15" t="s">
        <v>473</v>
      </c>
      <c r="E458" s="15" t="s">
        <v>17</v>
      </c>
      <c r="F458" s="15" t="s">
        <v>140</v>
      </c>
      <c r="G458" s="15"/>
      <c r="H458" s="15"/>
      <c r="I458" s="15"/>
      <c r="J458" s="15" t="s">
        <v>474</v>
      </c>
      <c r="K458" s="15" t="s">
        <v>140</v>
      </c>
      <c r="L458" s="15"/>
      <c r="M458" s="15"/>
      <c r="N458" t="str">
        <f t="shared" si="16"/>
        <v>TranscriptDocumentRoster(ST)-MaterialTranscript(CSOD)Completion Date/Time</v>
      </c>
      <c r="O458" t="str">
        <f t="shared" si="15"/>
        <v/>
      </c>
      <c r="P458" t="e">
        <f>VLOOKUP(N458,'[1]Sheet1 (2)'!$L:$M,2,0)</f>
        <v>#N/A</v>
      </c>
    </row>
    <row r="459" spans="1:16" hidden="1" x14ac:dyDescent="0.2">
      <c r="A459" s="13" t="s">
        <v>488</v>
      </c>
      <c r="B459" s="13" t="s">
        <v>110</v>
      </c>
      <c r="C459" s="13" t="s">
        <v>489</v>
      </c>
      <c r="D459" s="15" t="s">
        <v>475</v>
      </c>
      <c r="E459" s="15" t="s">
        <v>17</v>
      </c>
      <c r="F459" s="15" t="s">
        <v>140</v>
      </c>
      <c r="G459" s="15"/>
      <c r="H459" s="15"/>
      <c r="I459" s="15"/>
      <c r="J459" s="15" t="s">
        <v>476</v>
      </c>
      <c r="K459" s="15" t="s">
        <v>140</v>
      </c>
      <c r="L459" s="15"/>
      <c r="M459" s="15"/>
      <c r="N459" t="str">
        <f t="shared" si="16"/>
        <v>TranscriptDocumentRoster(ST)-MaterialTranscript(CSOD)Due Date/Time‡</v>
      </c>
      <c r="O459" t="str">
        <f t="shared" si="15"/>
        <v/>
      </c>
      <c r="P459" t="e">
        <f>VLOOKUP(N459,'[1]Sheet1 (2)'!$L:$M,2,0)</f>
        <v>#N/A</v>
      </c>
    </row>
    <row r="460" spans="1:16" hidden="1" x14ac:dyDescent="0.2">
      <c r="A460" s="13" t="s">
        <v>488</v>
      </c>
      <c r="B460" s="13" t="s">
        <v>110</v>
      </c>
      <c r="C460" s="13" t="s">
        <v>489</v>
      </c>
      <c r="D460" s="15" t="s">
        <v>491</v>
      </c>
      <c r="E460" s="15" t="s">
        <v>17</v>
      </c>
      <c r="F460" s="15" t="s">
        <v>11</v>
      </c>
      <c r="G460" s="15"/>
      <c r="H460" s="15"/>
      <c r="I460" s="15"/>
      <c r="J460" s="15"/>
      <c r="K460" s="15"/>
      <c r="L460" s="15"/>
      <c r="M460" s="15"/>
      <c r="N460" t="str">
        <f t="shared" si="16"/>
        <v>TranscriptDocumentRoster(ST)-MaterialTranscript(CSOD)Due Date Action type</v>
      </c>
      <c r="O460" t="str">
        <f t="shared" si="15"/>
        <v/>
      </c>
      <c r="P460" t="str">
        <f>VLOOKUP(N460,'[1]Sheet1 (2)'!$L:$M,2,0)</f>
        <v/>
      </c>
    </row>
    <row r="461" spans="1:16" ht="48" hidden="1" x14ac:dyDescent="0.2">
      <c r="A461" s="13" t="s">
        <v>488</v>
      </c>
      <c r="B461" s="13" t="s">
        <v>110</v>
      </c>
      <c r="C461" s="13" t="s">
        <v>489</v>
      </c>
      <c r="D461" s="15" t="s">
        <v>477</v>
      </c>
      <c r="E461" s="15" t="s">
        <v>17</v>
      </c>
      <c r="F461" s="15" t="s">
        <v>18</v>
      </c>
      <c r="G461" s="15"/>
      <c r="H461" s="15" t="b">
        <v>0</v>
      </c>
      <c r="I461" s="17" t="s">
        <v>19</v>
      </c>
      <c r="J461" s="15"/>
      <c r="K461" s="15"/>
      <c r="L461" s="15"/>
      <c r="M461" s="15"/>
      <c r="N461" t="str">
        <f t="shared" si="16"/>
        <v>TranscriptDocumentRoster(ST)-MaterialTranscript(CSOD)Archived</v>
      </c>
      <c r="O461" t="b">
        <f t="shared" si="15"/>
        <v>0</v>
      </c>
      <c r="P461" t="e">
        <f>VLOOKUP(N461,'[1]Sheet1 (2)'!$L:$M,2,0)</f>
        <v>#N/A</v>
      </c>
    </row>
    <row r="462" spans="1:16" hidden="1" x14ac:dyDescent="0.2">
      <c r="A462" s="13" t="s">
        <v>488</v>
      </c>
      <c r="B462" s="13" t="s">
        <v>110</v>
      </c>
      <c r="C462" s="13" t="s">
        <v>489</v>
      </c>
      <c r="D462" s="15" t="s">
        <v>478</v>
      </c>
      <c r="E462" s="15" t="s">
        <v>17</v>
      </c>
      <c r="F462" s="15" t="s">
        <v>11</v>
      </c>
      <c r="G462" s="15"/>
      <c r="H462" s="15"/>
      <c r="I462" s="15"/>
      <c r="J462" s="15"/>
      <c r="K462" s="15"/>
      <c r="L462" s="15"/>
      <c r="M462" s="15"/>
      <c r="N462" t="str">
        <f t="shared" si="16"/>
        <v>TranscriptDocumentRoster(ST)-MaterialTranscript(CSOD)User Exempt Reason</v>
      </c>
      <c r="O462" t="str">
        <f t="shared" si="15"/>
        <v/>
      </c>
      <c r="P462" t="e">
        <f>VLOOKUP(N462,'[1]Sheet1 (2)'!$L:$M,2,0)</f>
        <v>#N/A</v>
      </c>
    </row>
    <row r="463" spans="1:16" hidden="1" x14ac:dyDescent="0.2">
      <c r="A463" s="13" t="s">
        <v>488</v>
      </c>
      <c r="B463" s="13" t="s">
        <v>110</v>
      </c>
      <c r="C463" s="13" t="s">
        <v>489</v>
      </c>
      <c r="D463" s="15" t="s">
        <v>479</v>
      </c>
      <c r="E463" s="15" t="s">
        <v>17</v>
      </c>
      <c r="F463" s="15" t="s">
        <v>11</v>
      </c>
      <c r="G463" s="15"/>
      <c r="H463" s="15"/>
      <c r="I463" s="15"/>
      <c r="J463" s="15"/>
      <c r="K463" s="15"/>
      <c r="L463" s="15"/>
      <c r="M463" s="15"/>
      <c r="N463" t="str">
        <f t="shared" si="16"/>
        <v>TranscriptDocumentRoster(ST)-MaterialTranscript(CSOD)Approver Exempt Reason</v>
      </c>
      <c r="O463" t="str">
        <f t="shared" si="15"/>
        <v/>
      </c>
      <c r="P463" t="e">
        <f>VLOOKUP(N463,'[1]Sheet1 (2)'!$L:$M,2,0)</f>
        <v>#N/A</v>
      </c>
    </row>
    <row r="464" spans="1:16" hidden="1" x14ac:dyDescent="0.2">
      <c r="A464" s="13" t="s">
        <v>488</v>
      </c>
      <c r="B464" s="13" t="s">
        <v>110</v>
      </c>
      <c r="C464" s="13" t="s">
        <v>489</v>
      </c>
      <c r="D464" s="15" t="s">
        <v>480</v>
      </c>
      <c r="E464" s="15" t="s">
        <v>17</v>
      </c>
      <c r="F464" s="15" t="s">
        <v>11</v>
      </c>
      <c r="G464" s="15">
        <v>100</v>
      </c>
      <c r="H464" s="15"/>
      <c r="I464" s="15"/>
      <c r="J464" s="15"/>
      <c r="K464" s="15"/>
      <c r="L464" s="15"/>
      <c r="M464" s="15"/>
      <c r="N464" t="str">
        <f t="shared" si="16"/>
        <v>TranscriptDocumentRoster(ST)-MaterialTranscript(CSOD)User's Exemption Comments</v>
      </c>
      <c r="O464" t="str">
        <f t="shared" si="15"/>
        <v/>
      </c>
      <c r="P464" t="e">
        <f>VLOOKUP(N464,'[1]Sheet1 (2)'!$L:$M,2,0)</f>
        <v>#N/A</v>
      </c>
    </row>
    <row r="465" spans="1:16" hidden="1" x14ac:dyDescent="0.2">
      <c r="A465" s="13" t="s">
        <v>488</v>
      </c>
      <c r="B465" s="13" t="s">
        <v>110</v>
      </c>
      <c r="C465" s="13" t="s">
        <v>489</v>
      </c>
      <c r="D465" s="15" t="s">
        <v>481</v>
      </c>
      <c r="E465" s="15" t="s">
        <v>17</v>
      </c>
      <c r="F465" s="15" t="s">
        <v>11</v>
      </c>
      <c r="G465" s="15">
        <v>100</v>
      </c>
      <c r="H465" s="15"/>
      <c r="I465" s="15"/>
      <c r="J465" s="15"/>
      <c r="K465" s="15"/>
      <c r="L465" s="15"/>
      <c r="M465" s="15"/>
      <c r="N465" t="str">
        <f t="shared" si="16"/>
        <v>TranscriptDocumentRoster(ST)-MaterialTranscript(CSOD)Approver's Exemption Comments</v>
      </c>
      <c r="O465" t="str">
        <f t="shared" si="15"/>
        <v/>
      </c>
      <c r="P465" t="e">
        <f>VLOOKUP(N465,'[1]Sheet1 (2)'!$L:$M,2,0)</f>
        <v>#N/A</v>
      </c>
    </row>
    <row r="466" spans="1:16" hidden="1" x14ac:dyDescent="0.2">
      <c r="A466" s="13" t="s">
        <v>488</v>
      </c>
      <c r="B466" s="13" t="s">
        <v>110</v>
      </c>
      <c r="C466" s="13" t="s">
        <v>489</v>
      </c>
      <c r="D466" s="15" t="s">
        <v>482</v>
      </c>
      <c r="E466" s="15" t="s">
        <v>17</v>
      </c>
      <c r="F466" s="15" t="s">
        <v>11</v>
      </c>
      <c r="G466" s="15">
        <v>128</v>
      </c>
      <c r="H466" s="15"/>
      <c r="I466" s="15"/>
      <c r="J466" s="15"/>
      <c r="K466" s="15"/>
      <c r="L466" s="15"/>
      <c r="M466" s="15"/>
      <c r="N466" t="str">
        <f t="shared" si="16"/>
        <v>TranscriptDocumentRoster(ST)-MaterialTranscript(CSOD)Exempt By</v>
      </c>
      <c r="O466" t="str">
        <f t="shared" si="15"/>
        <v/>
      </c>
      <c r="P466" t="e">
        <f>VLOOKUP(N466,'[1]Sheet1 (2)'!$L:$M,2,0)</f>
        <v>#N/A</v>
      </c>
    </row>
    <row r="467" spans="1:16" hidden="1" x14ac:dyDescent="0.2">
      <c r="A467" s="13" t="s">
        <v>488</v>
      </c>
      <c r="B467" s="13" t="s">
        <v>110</v>
      </c>
      <c r="C467" s="13" t="s">
        <v>489</v>
      </c>
      <c r="D467" s="15" t="s">
        <v>483</v>
      </c>
      <c r="E467" s="15" t="s">
        <v>17</v>
      </c>
      <c r="F467" s="15" t="s">
        <v>11</v>
      </c>
      <c r="G467" s="15">
        <v>245</v>
      </c>
      <c r="H467" s="15"/>
      <c r="I467" s="15"/>
      <c r="J467" s="15" t="s">
        <v>492</v>
      </c>
      <c r="K467" s="15" t="s">
        <v>13</v>
      </c>
      <c r="L467" s="15"/>
      <c r="M467" s="15"/>
      <c r="N467" t="str">
        <f t="shared" si="16"/>
        <v>TranscriptDocumentRoster(ST)-MaterialTranscript(CSOD)Comments</v>
      </c>
      <c r="O467" t="str">
        <f t="shared" si="15"/>
        <v/>
      </c>
      <c r="P467" t="str">
        <f>VLOOKUP(N467,'[1]Sheet1 (2)'!$L:$M,2,0)</f>
        <v/>
      </c>
    </row>
    <row r="468" spans="1:16" hidden="1" x14ac:dyDescent="0.2">
      <c r="A468" s="13" t="s">
        <v>488</v>
      </c>
      <c r="B468" s="13" t="s">
        <v>110</v>
      </c>
      <c r="C468" s="13" t="s">
        <v>489</v>
      </c>
      <c r="D468" s="15" t="s">
        <v>485</v>
      </c>
      <c r="E468" s="15" t="s">
        <v>17</v>
      </c>
      <c r="F468" s="15" t="s">
        <v>85</v>
      </c>
      <c r="G468" s="15"/>
      <c r="H468" s="15"/>
      <c r="I468" s="17" t="s">
        <v>486</v>
      </c>
      <c r="J468" s="15"/>
      <c r="K468" s="15"/>
      <c r="L468" s="15"/>
      <c r="M468" s="15"/>
      <c r="N468" t="str">
        <f t="shared" si="16"/>
        <v>TranscriptDocumentRoster(ST)-MaterialTranscript(CSOD)Training Points</v>
      </c>
      <c r="O468" t="str">
        <f t="shared" si="15"/>
        <v/>
      </c>
      <c r="P468" t="e">
        <f>VLOOKUP(N468,'[1]Sheet1 (2)'!$L:$M,2,0)</f>
        <v>#N/A</v>
      </c>
    </row>
    <row r="469" spans="1:16" hidden="1" x14ac:dyDescent="0.2">
      <c r="A469" s="13" t="s">
        <v>488</v>
      </c>
      <c r="B469" s="13" t="s">
        <v>110</v>
      </c>
      <c r="C469" s="13" t="s">
        <v>489</v>
      </c>
      <c r="D469" s="15" t="s">
        <v>487</v>
      </c>
      <c r="E469" s="15" t="s">
        <v>17</v>
      </c>
      <c r="F469" s="15" t="s">
        <v>85</v>
      </c>
      <c r="G469" s="15"/>
      <c r="H469" s="15"/>
      <c r="I469" s="17" t="s">
        <v>486</v>
      </c>
      <c r="J469" s="15"/>
      <c r="K469" s="15"/>
      <c r="L469" s="15"/>
      <c r="M469" s="15"/>
      <c r="N469" t="str">
        <f t="shared" si="16"/>
        <v>TranscriptDocumentRoster(ST)-MaterialTranscript(CSOD)Training Badge</v>
      </c>
      <c r="O469" t="str">
        <f t="shared" si="15"/>
        <v/>
      </c>
      <c r="P469" t="e">
        <f>VLOOKUP(N469,'[1]Sheet1 (2)'!$L:$M,2,0)</f>
        <v>#N/A</v>
      </c>
    </row>
    <row r="470" spans="1:16" x14ac:dyDescent="0.2">
      <c r="A470" s="13" t="s">
        <v>488</v>
      </c>
      <c r="B470" s="13" t="s">
        <v>504</v>
      </c>
      <c r="C470" s="13" t="s">
        <v>493</v>
      </c>
      <c r="D470" s="15" t="s">
        <v>330</v>
      </c>
      <c r="E470" s="15" t="s">
        <v>10</v>
      </c>
      <c r="F470" s="15" t="s">
        <v>11</v>
      </c>
      <c r="G470" s="15">
        <v>128</v>
      </c>
      <c r="H470" s="15"/>
      <c r="I470" s="15"/>
      <c r="J470" s="15" t="s">
        <v>465</v>
      </c>
      <c r="K470" s="15" t="s">
        <v>13</v>
      </c>
      <c r="L470" s="15">
        <v>50</v>
      </c>
      <c r="M470" s="15"/>
      <c r="N470" t="str">
        <f t="shared" si="16"/>
        <v>TranscriptILTCLassRoster(ST)-SessionTranscript(CSOD)User ID*</v>
      </c>
      <c r="O470" t="str">
        <f t="shared" si="15"/>
        <v/>
      </c>
      <c r="P470" t="e">
        <f>VLOOKUP(N470,'[1]Sheet1 (2)'!$L:$M,2,0)</f>
        <v>#N/A</v>
      </c>
    </row>
    <row r="471" spans="1:16" x14ac:dyDescent="0.2">
      <c r="A471" s="13" t="s">
        <v>488</v>
      </c>
      <c r="B471" s="13" t="s">
        <v>504</v>
      </c>
      <c r="C471" s="13" t="s">
        <v>493</v>
      </c>
      <c r="D471" s="15" t="s">
        <v>137</v>
      </c>
      <c r="E471" s="15" t="s">
        <v>10</v>
      </c>
      <c r="F471" s="15" t="s">
        <v>11</v>
      </c>
      <c r="G471" s="15">
        <v>100</v>
      </c>
      <c r="H471" s="15"/>
      <c r="I471" s="15"/>
      <c r="J471" s="15" t="s">
        <v>94</v>
      </c>
      <c r="K471" s="15" t="s">
        <v>13</v>
      </c>
      <c r="L471" s="15">
        <v>255</v>
      </c>
      <c r="M471" s="15"/>
      <c r="N471" t="str">
        <f t="shared" si="16"/>
        <v>TranscriptILTCLassRoster(ST)-SessionTranscript(CSOD)Session ID*</v>
      </c>
      <c r="O471" t="str">
        <f t="shared" si="15"/>
        <v/>
      </c>
      <c r="P471" t="str">
        <f>VLOOKUP(N471,'[1]Sheet1 (2)'!$L:$M,2,0)</f>
        <v/>
      </c>
    </row>
    <row r="472" spans="1:16" x14ac:dyDescent="0.2">
      <c r="A472" s="13" t="s">
        <v>488</v>
      </c>
      <c r="B472" s="13" t="s">
        <v>504</v>
      </c>
      <c r="C472" s="13" t="s">
        <v>493</v>
      </c>
      <c r="D472" s="15" t="s">
        <v>494</v>
      </c>
      <c r="E472" s="15" t="s">
        <v>17</v>
      </c>
      <c r="F472" s="15" t="s">
        <v>11</v>
      </c>
      <c r="G472" s="15">
        <v>10</v>
      </c>
      <c r="H472" s="15"/>
      <c r="I472" s="15"/>
      <c r="J472" s="15" t="s">
        <v>490</v>
      </c>
      <c r="K472" s="15" t="s">
        <v>13</v>
      </c>
      <c r="L472" s="15">
        <v>50</v>
      </c>
      <c r="M472" s="15"/>
      <c r="N472" t="str">
        <f t="shared" si="16"/>
        <v>TranscriptILTCLassRoster(ST)-SessionTranscript(CSOD)Transcript Status</v>
      </c>
      <c r="O472" t="str">
        <f t="shared" si="15"/>
        <v/>
      </c>
      <c r="P472" t="str">
        <f>VLOOKUP(N472,'[1]Sheet1 (2)'!$L:$M,2,0)</f>
        <v/>
      </c>
    </row>
    <row r="473" spans="1:16" x14ac:dyDescent="0.2">
      <c r="A473" s="13" t="s">
        <v>488</v>
      </c>
      <c r="B473" s="13" t="s">
        <v>504</v>
      </c>
      <c r="C473" s="13" t="s">
        <v>493</v>
      </c>
      <c r="D473" s="15" t="s">
        <v>495</v>
      </c>
      <c r="E473" s="15" t="s">
        <v>17</v>
      </c>
      <c r="F473" s="15" t="s">
        <v>96</v>
      </c>
      <c r="G473" s="15" t="s">
        <v>96</v>
      </c>
      <c r="H473" s="15"/>
      <c r="I473" s="15"/>
      <c r="J473" s="15" t="s">
        <v>495</v>
      </c>
      <c r="K473" s="15" t="s">
        <v>496</v>
      </c>
      <c r="L473" s="15"/>
      <c r="M473" s="15"/>
      <c r="N473" t="str">
        <f t="shared" si="16"/>
        <v>TranscriptILTCLassRoster(ST)-SessionTranscript(CSOD)Score</v>
      </c>
      <c r="O473" t="str">
        <f t="shared" si="15"/>
        <v/>
      </c>
      <c r="P473" t="str">
        <f>VLOOKUP(N473,'[1]Sheet1 (2)'!$L:$M,2,0)</f>
        <v/>
      </c>
    </row>
    <row r="474" spans="1:16" x14ac:dyDescent="0.2">
      <c r="A474" s="13" t="s">
        <v>488</v>
      </c>
      <c r="B474" s="13" t="s">
        <v>504</v>
      </c>
      <c r="C474" s="13" t="s">
        <v>493</v>
      </c>
      <c r="D474" s="15" t="s">
        <v>497</v>
      </c>
      <c r="E474" s="15" t="s">
        <v>17</v>
      </c>
      <c r="F474" s="15" t="s">
        <v>85</v>
      </c>
      <c r="G474" s="15"/>
      <c r="H474" s="15" t="s">
        <v>498</v>
      </c>
      <c r="I474" s="17" t="s">
        <v>499</v>
      </c>
      <c r="J474" s="15" t="s">
        <v>500</v>
      </c>
      <c r="K474" s="15" t="s">
        <v>25</v>
      </c>
      <c r="L474" s="15"/>
      <c r="M474" s="15" t="s">
        <v>26</v>
      </c>
      <c r="N474" t="str">
        <f t="shared" si="16"/>
        <v>TranscriptILTCLassRoster(ST)-SessionTranscript(CSOD)Pass/Fail</v>
      </c>
      <c r="O474" t="str">
        <f t="shared" si="15"/>
        <v>Pass</v>
      </c>
      <c r="P474" t="str">
        <f>VLOOKUP(N474,'[1]Sheet1 (2)'!$L:$M,2,0)</f>
        <v>Pass</v>
      </c>
    </row>
    <row r="475" spans="1:16" x14ac:dyDescent="0.2">
      <c r="A475" s="13" t="s">
        <v>488</v>
      </c>
      <c r="B475" s="13" t="s">
        <v>504</v>
      </c>
      <c r="C475" s="13" t="s">
        <v>493</v>
      </c>
      <c r="D475" s="15" t="s">
        <v>501</v>
      </c>
      <c r="E475" s="15" t="s">
        <v>17</v>
      </c>
      <c r="F475" s="15" t="s">
        <v>140</v>
      </c>
      <c r="G475" s="15"/>
      <c r="H475" s="15"/>
      <c r="I475" s="15"/>
      <c r="J475" s="15" t="s">
        <v>469</v>
      </c>
      <c r="K475" s="15" t="s">
        <v>140</v>
      </c>
      <c r="L475" s="15"/>
      <c r="M475" s="15"/>
      <c r="N475" t="str">
        <f t="shared" si="16"/>
        <v>TranscriptILTCLassRoster(ST)-SessionTranscript(CSOD)Request Date/Time</v>
      </c>
      <c r="O475" t="str">
        <f t="shared" si="15"/>
        <v/>
      </c>
      <c r="P475" t="str">
        <f>VLOOKUP(N475,'[1]Sheet1 (2)'!$L:$M,2,0)</f>
        <v/>
      </c>
    </row>
    <row r="476" spans="1:16" x14ac:dyDescent="0.2">
      <c r="A476" s="13" t="s">
        <v>488</v>
      </c>
      <c r="B476" s="13" t="s">
        <v>504</v>
      </c>
      <c r="C476" s="13" t="s">
        <v>493</v>
      </c>
      <c r="D476" s="15" t="s">
        <v>502</v>
      </c>
      <c r="E476" s="15" t="s">
        <v>17</v>
      </c>
      <c r="F476" s="15" t="s">
        <v>140</v>
      </c>
      <c r="G476" s="15"/>
      <c r="H476" s="15"/>
      <c r="I476" s="15"/>
      <c r="J476" s="15" t="s">
        <v>469</v>
      </c>
      <c r="K476" s="15" t="s">
        <v>140</v>
      </c>
      <c r="L476" s="15"/>
      <c r="M476" s="15"/>
      <c r="N476" t="str">
        <f t="shared" si="16"/>
        <v>TranscriptILTCLassRoster(ST)-SessionTranscript(CSOD)Registration Date/Time</v>
      </c>
      <c r="O476" t="str">
        <f t="shared" si="15"/>
        <v/>
      </c>
      <c r="P476" t="str">
        <f>VLOOKUP(N476,'[1]Sheet1 (2)'!$L:$M,2,0)</f>
        <v/>
      </c>
    </row>
    <row r="477" spans="1:16" x14ac:dyDescent="0.2">
      <c r="A477" s="13" t="s">
        <v>488</v>
      </c>
      <c r="B477" s="13" t="s">
        <v>504</v>
      </c>
      <c r="C477" s="13" t="s">
        <v>493</v>
      </c>
      <c r="D477" s="15" t="s">
        <v>473</v>
      </c>
      <c r="E477" s="15" t="s">
        <v>17</v>
      </c>
      <c r="F477" s="15" t="s">
        <v>140</v>
      </c>
      <c r="G477" s="15"/>
      <c r="H477" s="15"/>
      <c r="I477" s="15"/>
      <c r="J477" s="15" t="s">
        <v>503</v>
      </c>
      <c r="K477" s="15" t="s">
        <v>140</v>
      </c>
      <c r="L477" s="15"/>
      <c r="M477" s="15"/>
      <c r="N477" t="str">
        <f t="shared" si="16"/>
        <v>TranscriptILTCLassRoster(ST)-SessionTranscript(CSOD)Completion Date/Time</v>
      </c>
      <c r="O477" t="str">
        <f t="shared" si="15"/>
        <v/>
      </c>
      <c r="P477" t="str">
        <f>VLOOKUP(N477,'[1]Sheet1 (2)'!$L:$M,2,0)</f>
        <v/>
      </c>
    </row>
    <row r="478" spans="1:16" x14ac:dyDescent="0.2">
      <c r="A478" s="13" t="s">
        <v>488</v>
      </c>
      <c r="B478" s="13" t="s">
        <v>504</v>
      </c>
      <c r="C478" s="13" t="s">
        <v>493</v>
      </c>
      <c r="D478" s="15" t="s">
        <v>475</v>
      </c>
      <c r="E478" s="15" t="s">
        <v>17</v>
      </c>
      <c r="F478" s="15" t="s">
        <v>140</v>
      </c>
      <c r="G478" s="15"/>
      <c r="H478" s="15"/>
      <c r="I478" s="15"/>
      <c r="J478" s="15" t="s">
        <v>476</v>
      </c>
      <c r="K478" s="15" t="s">
        <v>140</v>
      </c>
      <c r="L478" s="15"/>
      <c r="M478" s="15"/>
      <c r="N478" t="str">
        <f t="shared" si="16"/>
        <v>TranscriptILTCLassRoster(ST)-SessionTranscript(CSOD)Due Date/Time‡</v>
      </c>
      <c r="O478" t="str">
        <f t="shared" si="15"/>
        <v/>
      </c>
      <c r="P478" t="e">
        <f>VLOOKUP(N478,'[1]Sheet1 (2)'!$L:$M,2,0)</f>
        <v>#N/A</v>
      </c>
    </row>
    <row r="479" spans="1:16" x14ac:dyDescent="0.2">
      <c r="A479" s="13" t="s">
        <v>488</v>
      </c>
      <c r="B479" s="13" t="s">
        <v>504</v>
      </c>
      <c r="C479" s="13" t="s">
        <v>493</v>
      </c>
      <c r="D479" s="15" t="s">
        <v>478</v>
      </c>
      <c r="E479" s="15" t="s">
        <v>17</v>
      </c>
      <c r="F479" s="15" t="s">
        <v>11</v>
      </c>
      <c r="G479" s="15"/>
      <c r="H479" s="15"/>
      <c r="I479" s="15"/>
      <c r="J479" s="15"/>
      <c r="K479" s="15"/>
      <c r="L479" s="15"/>
      <c r="M479" s="15"/>
      <c r="N479" t="str">
        <f t="shared" si="16"/>
        <v>TranscriptILTCLassRoster(ST)-SessionTranscript(CSOD)User Exempt Reason</v>
      </c>
      <c r="O479" t="str">
        <f t="shared" si="15"/>
        <v/>
      </c>
      <c r="P479" t="e">
        <f>VLOOKUP(N479,'[1]Sheet1 (2)'!$L:$M,2,0)</f>
        <v>#N/A</v>
      </c>
    </row>
    <row r="480" spans="1:16" x14ac:dyDescent="0.2">
      <c r="A480" s="13" t="s">
        <v>488</v>
      </c>
      <c r="B480" s="13" t="s">
        <v>504</v>
      </c>
      <c r="C480" s="13" t="s">
        <v>493</v>
      </c>
      <c r="D480" s="15" t="s">
        <v>479</v>
      </c>
      <c r="E480" s="15" t="s">
        <v>17</v>
      </c>
      <c r="F480" s="15" t="s">
        <v>11</v>
      </c>
      <c r="G480" s="15"/>
      <c r="H480" s="15"/>
      <c r="I480" s="15"/>
      <c r="J480" s="15"/>
      <c r="K480" s="15"/>
      <c r="L480" s="15"/>
      <c r="M480" s="15"/>
      <c r="N480" t="str">
        <f t="shared" si="16"/>
        <v>TranscriptILTCLassRoster(ST)-SessionTranscript(CSOD)Approver Exempt Reason</v>
      </c>
      <c r="O480" t="str">
        <f t="shared" si="15"/>
        <v/>
      </c>
      <c r="P480" t="e">
        <f>VLOOKUP(N480,'[1]Sheet1 (2)'!$L:$M,2,0)</f>
        <v>#N/A</v>
      </c>
    </row>
    <row r="481" spans="1:16" x14ac:dyDescent="0.2">
      <c r="A481" s="13" t="s">
        <v>488</v>
      </c>
      <c r="B481" s="13" t="s">
        <v>504</v>
      </c>
      <c r="C481" s="13" t="s">
        <v>493</v>
      </c>
      <c r="D481" s="15" t="s">
        <v>480</v>
      </c>
      <c r="E481" s="15" t="s">
        <v>17</v>
      </c>
      <c r="F481" s="15" t="s">
        <v>11</v>
      </c>
      <c r="G481" s="15">
        <v>100</v>
      </c>
      <c r="H481" s="15"/>
      <c r="I481" s="15"/>
      <c r="J481" s="15"/>
      <c r="K481" s="15"/>
      <c r="L481" s="15"/>
      <c r="M481" s="15"/>
      <c r="N481" t="str">
        <f t="shared" si="16"/>
        <v>TranscriptILTCLassRoster(ST)-SessionTranscript(CSOD)User's Exemption Comments</v>
      </c>
      <c r="O481" t="str">
        <f t="shared" si="15"/>
        <v/>
      </c>
      <c r="P481" t="e">
        <f>VLOOKUP(N481,'[1]Sheet1 (2)'!$L:$M,2,0)</f>
        <v>#N/A</v>
      </c>
    </row>
    <row r="482" spans="1:16" x14ac:dyDescent="0.2">
      <c r="A482" s="13" t="s">
        <v>488</v>
      </c>
      <c r="B482" s="13" t="s">
        <v>504</v>
      </c>
      <c r="C482" s="13" t="s">
        <v>493</v>
      </c>
      <c r="D482" s="15" t="s">
        <v>481</v>
      </c>
      <c r="E482" s="15" t="s">
        <v>17</v>
      </c>
      <c r="F482" s="15" t="s">
        <v>11</v>
      </c>
      <c r="G482" s="15">
        <v>100</v>
      </c>
      <c r="H482" s="15"/>
      <c r="I482" s="15"/>
      <c r="J482" s="15"/>
      <c r="K482" s="15"/>
      <c r="L482" s="15"/>
      <c r="M482" s="15"/>
      <c r="N482" t="str">
        <f t="shared" si="16"/>
        <v>TranscriptILTCLassRoster(ST)-SessionTranscript(CSOD)Approver's Exemption Comments</v>
      </c>
      <c r="O482" t="str">
        <f t="shared" si="15"/>
        <v/>
      </c>
      <c r="P482" t="e">
        <f>VLOOKUP(N482,'[1]Sheet1 (2)'!$L:$M,2,0)</f>
        <v>#N/A</v>
      </c>
    </row>
    <row r="483" spans="1:16" x14ac:dyDescent="0.2">
      <c r="A483" s="13" t="s">
        <v>488</v>
      </c>
      <c r="B483" s="13" t="s">
        <v>504</v>
      </c>
      <c r="C483" s="13" t="s">
        <v>493</v>
      </c>
      <c r="D483" s="15" t="s">
        <v>482</v>
      </c>
      <c r="E483" s="15" t="s">
        <v>17</v>
      </c>
      <c r="F483" s="15" t="s">
        <v>11</v>
      </c>
      <c r="G483" s="15">
        <v>128</v>
      </c>
      <c r="H483" s="15"/>
      <c r="I483" s="15"/>
      <c r="J483" s="15"/>
      <c r="K483" s="15"/>
      <c r="L483" s="15"/>
      <c r="M483" s="15"/>
      <c r="N483" t="str">
        <f t="shared" si="16"/>
        <v>TranscriptILTCLassRoster(ST)-SessionTranscript(CSOD)Exempt By</v>
      </c>
      <c r="O483" t="str">
        <f t="shared" si="15"/>
        <v/>
      </c>
      <c r="P483" t="e">
        <f>VLOOKUP(N483,'[1]Sheet1 (2)'!$L:$M,2,0)</f>
        <v>#N/A</v>
      </c>
    </row>
    <row r="484" spans="1:16" x14ac:dyDescent="0.2">
      <c r="A484" s="13" t="s">
        <v>488</v>
      </c>
      <c r="B484" s="13" t="s">
        <v>504</v>
      </c>
      <c r="C484" s="13" t="s">
        <v>493</v>
      </c>
      <c r="D484" s="15" t="s">
        <v>483</v>
      </c>
      <c r="E484" s="15" t="s">
        <v>17</v>
      </c>
      <c r="F484" s="15" t="s">
        <v>11</v>
      </c>
      <c r="G484" s="15">
        <v>245</v>
      </c>
      <c r="H484" s="15"/>
      <c r="I484" s="15"/>
      <c r="J484" s="15" t="s">
        <v>484</v>
      </c>
      <c r="K484" s="15" t="s">
        <v>13</v>
      </c>
      <c r="L484" s="15"/>
      <c r="M484" s="15"/>
      <c r="N484" t="str">
        <f t="shared" si="16"/>
        <v>TranscriptILTCLassRoster(ST)-SessionTranscript(CSOD)Comments</v>
      </c>
      <c r="O484" t="str">
        <f t="shared" si="15"/>
        <v/>
      </c>
      <c r="P484" t="e">
        <f>VLOOKUP(N484,'[1]Sheet1 (2)'!$L:$M,2,0)</f>
        <v>#N/A</v>
      </c>
    </row>
    <row r="485" spans="1:16" ht="48" x14ac:dyDescent="0.2">
      <c r="A485" s="13" t="s">
        <v>488</v>
      </c>
      <c r="B485" s="13" t="s">
        <v>504</v>
      </c>
      <c r="C485" s="13" t="s">
        <v>493</v>
      </c>
      <c r="D485" s="15" t="s">
        <v>477</v>
      </c>
      <c r="E485" s="15" t="s">
        <v>17</v>
      </c>
      <c r="F485" s="15" t="s">
        <v>18</v>
      </c>
      <c r="G485" s="15"/>
      <c r="H485" s="15" t="b">
        <v>0</v>
      </c>
      <c r="I485" s="17" t="s">
        <v>19</v>
      </c>
      <c r="J485" s="15"/>
      <c r="K485" s="15"/>
      <c r="L485" s="15"/>
      <c r="M485" s="15"/>
      <c r="N485" t="str">
        <f t="shared" si="16"/>
        <v>TranscriptILTCLassRoster(ST)-SessionTranscript(CSOD)Archived</v>
      </c>
      <c r="O485" t="b">
        <f t="shared" si="15"/>
        <v>0</v>
      </c>
      <c r="P485" t="e">
        <f>VLOOKUP(N485,'[1]Sheet1 (2)'!$L:$M,2,0)</f>
        <v>#N/A</v>
      </c>
    </row>
    <row r="486" spans="1:16" hidden="1" x14ac:dyDescent="0.2">
      <c r="A486" s="13" t="s">
        <v>488</v>
      </c>
      <c r="B486" s="13" t="s">
        <v>260</v>
      </c>
      <c r="C486" s="13" t="s">
        <v>505</v>
      </c>
      <c r="D486" s="15" t="s">
        <v>330</v>
      </c>
      <c r="E486" s="15" t="s">
        <v>10</v>
      </c>
      <c r="F486" s="15" t="s">
        <v>11</v>
      </c>
      <c r="G486" s="15">
        <v>128</v>
      </c>
      <c r="H486" s="15"/>
      <c r="I486" s="15"/>
      <c r="J486" s="15" t="s">
        <v>465</v>
      </c>
      <c r="K486" s="15" t="s">
        <v>13</v>
      </c>
      <c r="L486" s="15">
        <v>50</v>
      </c>
      <c r="M486" s="15"/>
      <c r="N486" t="str">
        <f t="shared" si="16"/>
        <v>TranscriptOCRoster(ST)-OnlineCourse(CSOD)User ID*</v>
      </c>
      <c r="O486" t="str">
        <f t="shared" si="15"/>
        <v/>
      </c>
      <c r="P486" t="e">
        <f>VLOOKUP(N486,'[1]Sheet1 (2)'!$L:$M,2,0)</f>
        <v>#N/A</v>
      </c>
    </row>
    <row r="487" spans="1:16" hidden="1" x14ac:dyDescent="0.2">
      <c r="A487" s="13" t="s">
        <v>488</v>
      </c>
      <c r="B487" s="13" t="s">
        <v>260</v>
      </c>
      <c r="C487" s="13" t="s">
        <v>505</v>
      </c>
      <c r="D487" s="15" t="s">
        <v>247</v>
      </c>
      <c r="E487" s="15" t="s">
        <v>10</v>
      </c>
      <c r="F487" s="15" t="s">
        <v>11</v>
      </c>
      <c r="G487" s="15">
        <v>100</v>
      </c>
      <c r="H487" s="15"/>
      <c r="I487" s="15"/>
      <c r="J487" s="15" t="s">
        <v>94</v>
      </c>
      <c r="K487" s="15" t="s">
        <v>13</v>
      </c>
      <c r="L487" s="15">
        <v>255</v>
      </c>
      <c r="M487" s="15"/>
      <c r="N487" t="str">
        <f t="shared" si="16"/>
        <v>TranscriptOCRoster(ST)-OnlineCourse(CSOD)Online Course ID*</v>
      </c>
      <c r="O487" t="str">
        <f t="shared" si="15"/>
        <v/>
      </c>
      <c r="P487" t="str">
        <f>VLOOKUP(N487,'[1]Sheet1 (2)'!$L:$M,2,0)</f>
        <v/>
      </c>
    </row>
    <row r="488" spans="1:16" hidden="1" x14ac:dyDescent="0.2">
      <c r="A488" s="13" t="s">
        <v>488</v>
      </c>
      <c r="B488" s="13" t="s">
        <v>260</v>
      </c>
      <c r="C488" s="13" t="s">
        <v>505</v>
      </c>
      <c r="D488" s="15" t="s">
        <v>466</v>
      </c>
      <c r="E488" s="15" t="s">
        <v>10</v>
      </c>
      <c r="F488" s="15" t="s">
        <v>11</v>
      </c>
      <c r="G488" s="15">
        <v>50</v>
      </c>
      <c r="H488" s="15"/>
      <c r="I488" s="15"/>
      <c r="J488" s="15" t="s">
        <v>490</v>
      </c>
      <c r="K488" s="15" t="s">
        <v>13</v>
      </c>
      <c r="L488" s="15">
        <v>50</v>
      </c>
      <c r="M488" s="15"/>
      <c r="N488" t="str">
        <f t="shared" si="16"/>
        <v>TranscriptOCRoster(ST)-OnlineCourse(CSOD)Transcript Status*</v>
      </c>
      <c r="O488" t="str">
        <f t="shared" si="15"/>
        <v/>
      </c>
      <c r="P488" t="e">
        <f>VLOOKUP(N488,'[1]Sheet1 (2)'!$L:$M,2,0)</f>
        <v>#N/A</v>
      </c>
    </row>
    <row r="489" spans="1:16" hidden="1" x14ac:dyDescent="0.2">
      <c r="A489" s="13" t="s">
        <v>488</v>
      </c>
      <c r="B489" s="13" t="s">
        <v>260</v>
      </c>
      <c r="C489" s="13" t="s">
        <v>505</v>
      </c>
      <c r="D489" s="15" t="s">
        <v>468</v>
      </c>
      <c r="E489" s="15" t="s">
        <v>10</v>
      </c>
      <c r="F489" s="15" t="s">
        <v>140</v>
      </c>
      <c r="G489" s="15"/>
      <c r="H489" s="15"/>
      <c r="I489" s="15"/>
      <c r="J489" s="15" t="s">
        <v>469</v>
      </c>
      <c r="K489" s="15" t="s">
        <v>140</v>
      </c>
      <c r="L489" s="15"/>
      <c r="M489" s="15"/>
      <c r="N489" t="str">
        <f t="shared" si="16"/>
        <v>TranscriptOCRoster(ST)-OnlineCourse(CSOD)Request Date/Time*</v>
      </c>
      <c r="O489" t="str">
        <f t="shared" si="15"/>
        <v/>
      </c>
      <c r="P489" t="e">
        <f>VLOOKUP(N489,'[1]Sheet1 (2)'!$L:$M,2,0)</f>
        <v>#N/A</v>
      </c>
    </row>
    <row r="490" spans="1:16" hidden="1" x14ac:dyDescent="0.2">
      <c r="A490" s="13" t="s">
        <v>488</v>
      </c>
      <c r="B490" s="13" t="s">
        <v>260</v>
      </c>
      <c r="C490" s="13" t="s">
        <v>505</v>
      </c>
      <c r="D490" s="15" t="s">
        <v>470</v>
      </c>
      <c r="E490" s="15" t="s">
        <v>10</v>
      </c>
      <c r="F490" s="15" t="s">
        <v>140</v>
      </c>
      <c r="G490" s="15"/>
      <c r="H490" s="15"/>
      <c r="I490" s="15"/>
      <c r="J490" s="15" t="s">
        <v>469</v>
      </c>
      <c r="K490" s="15" t="s">
        <v>140</v>
      </c>
      <c r="L490" s="15"/>
      <c r="M490" s="15"/>
      <c r="N490" t="str">
        <f t="shared" si="16"/>
        <v>TranscriptOCRoster(ST)-OnlineCourse(CSOD)Registration Date/Time*</v>
      </c>
      <c r="O490" t="str">
        <f t="shared" si="15"/>
        <v/>
      </c>
      <c r="P490" t="e">
        <f>VLOOKUP(N490,'[1]Sheet1 (2)'!$L:$M,2,0)</f>
        <v>#N/A</v>
      </c>
    </row>
    <row r="491" spans="1:16" hidden="1" x14ac:dyDescent="0.2">
      <c r="A491" s="13" t="s">
        <v>488</v>
      </c>
      <c r="B491" s="13" t="s">
        <v>260</v>
      </c>
      <c r="C491" s="13" t="s">
        <v>505</v>
      </c>
      <c r="D491" s="15" t="s">
        <v>471</v>
      </c>
      <c r="E491" s="15" t="s">
        <v>17</v>
      </c>
      <c r="F491" s="15" t="s">
        <v>85</v>
      </c>
      <c r="G491" s="15"/>
      <c r="H491" s="15"/>
      <c r="I491" s="17" t="s">
        <v>472</v>
      </c>
      <c r="J491" s="15"/>
      <c r="K491" s="15"/>
      <c r="L491" s="15"/>
      <c r="M491" s="15"/>
      <c r="N491" t="str">
        <f t="shared" si="16"/>
        <v>TranscriptOCRoster(ST)-OnlineCourse(CSOD)Transcript Action</v>
      </c>
      <c r="O491" t="str">
        <f t="shared" si="15"/>
        <v/>
      </c>
      <c r="P491" t="e">
        <f>VLOOKUP(N491,'[1]Sheet1 (2)'!$L:$M,2,0)</f>
        <v>#N/A</v>
      </c>
    </row>
    <row r="492" spans="1:16" hidden="1" x14ac:dyDescent="0.2">
      <c r="A492" s="13" t="s">
        <v>488</v>
      </c>
      <c r="B492" s="13" t="s">
        <v>260</v>
      </c>
      <c r="C492" s="13" t="s">
        <v>505</v>
      </c>
      <c r="D492" s="15" t="s">
        <v>473</v>
      </c>
      <c r="E492" s="15" t="s">
        <v>17</v>
      </c>
      <c r="F492" s="15" t="s">
        <v>140</v>
      </c>
      <c r="G492" s="15"/>
      <c r="H492" s="15"/>
      <c r="I492" s="15"/>
      <c r="J492" s="15" t="s">
        <v>474</v>
      </c>
      <c r="K492" s="15" t="s">
        <v>140</v>
      </c>
      <c r="L492" s="15"/>
      <c r="M492" s="15"/>
      <c r="N492" t="str">
        <f t="shared" si="16"/>
        <v>TranscriptOCRoster(ST)-OnlineCourse(CSOD)Completion Date/Time</v>
      </c>
      <c r="O492" t="str">
        <f t="shared" si="15"/>
        <v/>
      </c>
      <c r="P492" t="e">
        <f>VLOOKUP(N492,'[1]Sheet1 (2)'!$L:$M,2,0)</f>
        <v>#N/A</v>
      </c>
    </row>
    <row r="493" spans="1:16" hidden="1" x14ac:dyDescent="0.2">
      <c r="A493" s="13" t="s">
        <v>488</v>
      </c>
      <c r="B493" s="13" t="s">
        <v>260</v>
      </c>
      <c r="C493" s="13" t="s">
        <v>505</v>
      </c>
      <c r="D493" s="15" t="s">
        <v>475</v>
      </c>
      <c r="E493" s="15" t="s">
        <v>17</v>
      </c>
      <c r="F493" s="15" t="s">
        <v>140</v>
      </c>
      <c r="G493" s="15"/>
      <c r="H493" s="15"/>
      <c r="I493" s="15"/>
      <c r="J493" s="15" t="s">
        <v>476</v>
      </c>
      <c r="K493" s="15" t="s">
        <v>140</v>
      </c>
      <c r="L493" s="15"/>
      <c r="M493" s="15"/>
      <c r="N493" t="str">
        <f t="shared" si="16"/>
        <v>TranscriptOCRoster(ST)-OnlineCourse(CSOD)Due Date/Time‡</v>
      </c>
      <c r="O493" t="str">
        <f t="shared" si="15"/>
        <v/>
      </c>
      <c r="P493" t="e">
        <f>VLOOKUP(N493,'[1]Sheet1 (2)'!$L:$M,2,0)</f>
        <v>#N/A</v>
      </c>
    </row>
    <row r="494" spans="1:16" hidden="1" x14ac:dyDescent="0.2">
      <c r="A494" s="13" t="s">
        <v>488</v>
      </c>
      <c r="B494" s="13" t="s">
        <v>260</v>
      </c>
      <c r="C494" s="13" t="s">
        <v>505</v>
      </c>
      <c r="D494" s="15" t="s">
        <v>491</v>
      </c>
      <c r="E494" s="15" t="s">
        <v>17</v>
      </c>
      <c r="F494" s="15" t="s">
        <v>11</v>
      </c>
      <c r="G494" s="15"/>
      <c r="H494" s="15"/>
      <c r="I494" s="15"/>
      <c r="J494" s="15"/>
      <c r="K494" s="15"/>
      <c r="L494" s="15"/>
      <c r="M494" s="15"/>
      <c r="N494" t="str">
        <f t="shared" si="16"/>
        <v>TranscriptOCRoster(ST)-OnlineCourse(CSOD)Due Date Action type</v>
      </c>
      <c r="O494" t="str">
        <f t="shared" si="15"/>
        <v/>
      </c>
      <c r="P494" t="e">
        <f>VLOOKUP(N494,'[1]Sheet1 (2)'!$L:$M,2,0)</f>
        <v>#N/A</v>
      </c>
    </row>
    <row r="495" spans="1:16" hidden="1" x14ac:dyDescent="0.2">
      <c r="A495" s="13" t="s">
        <v>488</v>
      </c>
      <c r="B495" s="13" t="s">
        <v>260</v>
      </c>
      <c r="C495" s="13" t="s">
        <v>505</v>
      </c>
      <c r="D495" s="15" t="s">
        <v>495</v>
      </c>
      <c r="E495" s="15" t="s">
        <v>17</v>
      </c>
      <c r="F495" s="15" t="s">
        <v>96</v>
      </c>
      <c r="G495" s="15">
        <v>100</v>
      </c>
      <c r="H495" s="15"/>
      <c r="I495" s="15"/>
      <c r="J495" s="15" t="s">
        <v>495</v>
      </c>
      <c r="K495" s="15" t="s">
        <v>496</v>
      </c>
      <c r="L495" s="15"/>
      <c r="M495" s="15"/>
      <c r="N495" t="str">
        <f t="shared" si="16"/>
        <v>TranscriptOCRoster(ST)-OnlineCourse(CSOD)Score</v>
      </c>
      <c r="O495" t="str">
        <f t="shared" si="15"/>
        <v/>
      </c>
      <c r="P495" t="str">
        <f>VLOOKUP(N495,'[1]Sheet1 (2)'!$L:$M,2,0)</f>
        <v/>
      </c>
    </row>
    <row r="496" spans="1:16" ht="48" hidden="1" x14ac:dyDescent="0.2">
      <c r="A496" s="13" t="s">
        <v>488</v>
      </c>
      <c r="B496" s="13" t="s">
        <v>260</v>
      </c>
      <c r="C496" s="13" t="s">
        <v>505</v>
      </c>
      <c r="D496" s="15" t="s">
        <v>477</v>
      </c>
      <c r="E496" s="15" t="s">
        <v>17</v>
      </c>
      <c r="F496" s="15" t="s">
        <v>18</v>
      </c>
      <c r="G496" s="15"/>
      <c r="H496" s="15" t="b">
        <v>0</v>
      </c>
      <c r="I496" s="17" t="s">
        <v>19</v>
      </c>
      <c r="J496" s="15"/>
      <c r="K496" s="15"/>
      <c r="L496" s="15"/>
      <c r="M496" s="15"/>
      <c r="N496" t="str">
        <f t="shared" si="16"/>
        <v>TranscriptOCRoster(ST)-OnlineCourse(CSOD)Archived</v>
      </c>
      <c r="O496" t="b">
        <f t="shared" si="15"/>
        <v>0</v>
      </c>
      <c r="P496" t="e">
        <f>VLOOKUP(N496,'[1]Sheet1 (2)'!$L:$M,2,0)</f>
        <v>#N/A</v>
      </c>
    </row>
    <row r="497" spans="1:16" hidden="1" x14ac:dyDescent="0.2">
      <c r="A497" s="13" t="s">
        <v>488</v>
      </c>
      <c r="B497" s="13" t="s">
        <v>260</v>
      </c>
      <c r="C497" s="13" t="s">
        <v>505</v>
      </c>
      <c r="D497" s="15" t="s">
        <v>478</v>
      </c>
      <c r="E497" s="15" t="s">
        <v>17</v>
      </c>
      <c r="F497" s="15" t="s">
        <v>11</v>
      </c>
      <c r="G497" s="15"/>
      <c r="H497" s="15"/>
      <c r="I497" s="15"/>
      <c r="J497" s="15"/>
      <c r="K497" s="15"/>
      <c r="L497" s="15"/>
      <c r="M497" s="15"/>
      <c r="N497" t="str">
        <f t="shared" si="16"/>
        <v>TranscriptOCRoster(ST)-OnlineCourse(CSOD)User Exempt Reason</v>
      </c>
      <c r="O497" t="str">
        <f t="shared" si="15"/>
        <v/>
      </c>
      <c r="P497" t="e">
        <f>VLOOKUP(N497,'[1]Sheet1 (2)'!$L:$M,2,0)</f>
        <v>#N/A</v>
      </c>
    </row>
    <row r="498" spans="1:16" hidden="1" x14ac:dyDescent="0.2">
      <c r="A498" s="13" t="s">
        <v>488</v>
      </c>
      <c r="B498" s="13" t="s">
        <v>260</v>
      </c>
      <c r="C498" s="13" t="s">
        <v>505</v>
      </c>
      <c r="D498" s="15" t="s">
        <v>479</v>
      </c>
      <c r="E498" s="15" t="s">
        <v>17</v>
      </c>
      <c r="F498" s="15" t="s">
        <v>11</v>
      </c>
      <c r="G498" s="15"/>
      <c r="H498" s="15"/>
      <c r="I498" s="15"/>
      <c r="J498" s="15"/>
      <c r="K498" s="15"/>
      <c r="L498" s="15"/>
      <c r="M498" s="15"/>
      <c r="N498" t="str">
        <f t="shared" si="16"/>
        <v>TranscriptOCRoster(ST)-OnlineCourse(CSOD)Approver Exempt Reason</v>
      </c>
      <c r="O498" t="str">
        <f t="shared" si="15"/>
        <v/>
      </c>
      <c r="P498" t="e">
        <f>VLOOKUP(N498,'[1]Sheet1 (2)'!$L:$M,2,0)</f>
        <v>#N/A</v>
      </c>
    </row>
    <row r="499" spans="1:16" hidden="1" x14ac:dyDescent="0.2">
      <c r="A499" s="13" t="s">
        <v>488</v>
      </c>
      <c r="B499" s="13" t="s">
        <v>260</v>
      </c>
      <c r="C499" s="13" t="s">
        <v>505</v>
      </c>
      <c r="D499" s="15" t="s">
        <v>480</v>
      </c>
      <c r="E499" s="15" t="s">
        <v>17</v>
      </c>
      <c r="F499" s="15" t="s">
        <v>11</v>
      </c>
      <c r="G499" s="15">
        <v>100</v>
      </c>
      <c r="H499" s="15"/>
      <c r="I499" s="15"/>
      <c r="J499" s="15"/>
      <c r="K499" s="15"/>
      <c r="L499" s="15"/>
      <c r="M499" s="15"/>
      <c r="N499" t="str">
        <f t="shared" si="16"/>
        <v>TranscriptOCRoster(ST)-OnlineCourse(CSOD)User's Exemption Comments</v>
      </c>
      <c r="O499" t="str">
        <f t="shared" si="15"/>
        <v/>
      </c>
      <c r="P499" t="e">
        <f>VLOOKUP(N499,'[1]Sheet1 (2)'!$L:$M,2,0)</f>
        <v>#N/A</v>
      </c>
    </row>
    <row r="500" spans="1:16" hidden="1" x14ac:dyDescent="0.2">
      <c r="A500" s="13" t="s">
        <v>488</v>
      </c>
      <c r="B500" s="13" t="s">
        <v>260</v>
      </c>
      <c r="C500" s="13" t="s">
        <v>505</v>
      </c>
      <c r="D500" s="15" t="s">
        <v>481</v>
      </c>
      <c r="E500" s="15" t="s">
        <v>17</v>
      </c>
      <c r="F500" s="15" t="s">
        <v>11</v>
      </c>
      <c r="G500" s="15">
        <v>100</v>
      </c>
      <c r="H500" s="15"/>
      <c r="I500" s="15"/>
      <c r="J500" s="15"/>
      <c r="K500" s="15"/>
      <c r="L500" s="15"/>
      <c r="M500" s="15"/>
      <c r="N500" t="str">
        <f t="shared" si="16"/>
        <v>TranscriptOCRoster(ST)-OnlineCourse(CSOD)Approver's Exemption Comments</v>
      </c>
      <c r="O500" t="str">
        <f t="shared" si="15"/>
        <v/>
      </c>
      <c r="P500" t="e">
        <f>VLOOKUP(N500,'[1]Sheet1 (2)'!$L:$M,2,0)</f>
        <v>#N/A</v>
      </c>
    </row>
    <row r="501" spans="1:16" hidden="1" x14ac:dyDescent="0.2">
      <c r="A501" s="13" t="s">
        <v>488</v>
      </c>
      <c r="B501" s="13" t="s">
        <v>260</v>
      </c>
      <c r="C501" s="13" t="s">
        <v>505</v>
      </c>
      <c r="D501" s="15" t="s">
        <v>482</v>
      </c>
      <c r="E501" s="15" t="s">
        <v>17</v>
      </c>
      <c r="F501" s="15" t="s">
        <v>11</v>
      </c>
      <c r="G501" s="15">
        <v>128</v>
      </c>
      <c r="H501" s="15"/>
      <c r="I501" s="15"/>
      <c r="J501" s="15"/>
      <c r="K501" s="15"/>
      <c r="L501" s="15"/>
      <c r="M501" s="15"/>
      <c r="N501" t="str">
        <f t="shared" si="16"/>
        <v>TranscriptOCRoster(ST)-OnlineCourse(CSOD)Exempt By</v>
      </c>
      <c r="O501" t="str">
        <f t="shared" si="15"/>
        <v/>
      </c>
      <c r="P501" t="e">
        <f>VLOOKUP(N501,'[1]Sheet1 (2)'!$L:$M,2,0)</f>
        <v>#N/A</v>
      </c>
    </row>
    <row r="502" spans="1:16" hidden="1" x14ac:dyDescent="0.2">
      <c r="A502" s="13" t="s">
        <v>488</v>
      </c>
      <c r="B502" s="13" t="s">
        <v>260</v>
      </c>
      <c r="C502" s="13" t="s">
        <v>505</v>
      </c>
      <c r="D502" s="15" t="s">
        <v>483</v>
      </c>
      <c r="E502" s="15" t="s">
        <v>17</v>
      </c>
      <c r="F502" s="15" t="s">
        <v>11</v>
      </c>
      <c r="G502" s="15">
        <v>245</v>
      </c>
      <c r="H502" s="15"/>
      <c r="I502" s="15"/>
      <c r="J502" s="15" t="s">
        <v>484</v>
      </c>
      <c r="K502" s="15" t="s">
        <v>13</v>
      </c>
      <c r="L502" s="15"/>
      <c r="M502" s="15"/>
      <c r="N502" t="str">
        <f t="shared" si="16"/>
        <v>TranscriptOCRoster(ST)-OnlineCourse(CSOD)Comments</v>
      </c>
      <c r="O502" t="str">
        <f t="shared" si="15"/>
        <v/>
      </c>
      <c r="P502" t="e">
        <f>VLOOKUP(N502,'[1]Sheet1 (2)'!$L:$M,2,0)</f>
        <v>#N/A</v>
      </c>
    </row>
    <row r="503" spans="1:16" hidden="1" x14ac:dyDescent="0.2">
      <c r="A503" s="13" t="s">
        <v>488</v>
      </c>
      <c r="B503" s="13" t="s">
        <v>260</v>
      </c>
      <c r="C503" s="13" t="s">
        <v>505</v>
      </c>
      <c r="D503" s="15" t="s">
        <v>485</v>
      </c>
      <c r="E503" s="15" t="s">
        <v>17</v>
      </c>
      <c r="F503" s="15" t="s">
        <v>85</v>
      </c>
      <c r="G503" s="15"/>
      <c r="H503" s="15"/>
      <c r="I503" s="17" t="s">
        <v>486</v>
      </c>
      <c r="J503" s="15"/>
      <c r="K503" s="15"/>
      <c r="L503" s="15"/>
      <c r="M503" s="15"/>
      <c r="N503" t="str">
        <f t="shared" si="16"/>
        <v>TranscriptOCRoster(ST)-OnlineCourse(CSOD)Training Points</v>
      </c>
      <c r="O503" t="str">
        <f t="shared" si="15"/>
        <v/>
      </c>
      <c r="P503" t="e">
        <f>VLOOKUP(N503,'[1]Sheet1 (2)'!$L:$M,2,0)</f>
        <v>#N/A</v>
      </c>
    </row>
    <row r="504" spans="1:16" hidden="1" x14ac:dyDescent="0.2">
      <c r="A504" s="13" t="s">
        <v>488</v>
      </c>
      <c r="B504" s="13" t="s">
        <v>260</v>
      </c>
      <c r="C504" s="13" t="s">
        <v>505</v>
      </c>
      <c r="D504" s="15" t="s">
        <v>487</v>
      </c>
      <c r="E504" s="15" t="s">
        <v>17</v>
      </c>
      <c r="F504" s="15" t="s">
        <v>85</v>
      </c>
      <c r="G504" s="15"/>
      <c r="H504" s="15"/>
      <c r="I504" s="17" t="s">
        <v>486</v>
      </c>
      <c r="J504" s="15"/>
      <c r="K504" s="15"/>
      <c r="L504" s="15"/>
      <c r="M504" s="15"/>
      <c r="N504" t="str">
        <f t="shared" si="16"/>
        <v>TranscriptOCRoster(ST)-OnlineCourse(CSOD)Training Badge</v>
      </c>
      <c r="O504" t="str">
        <f t="shared" si="15"/>
        <v/>
      </c>
      <c r="P504" t="e">
        <f>VLOOKUP(N504,'[1]Sheet1 (2)'!$L:$M,2,0)</f>
        <v>#N/A</v>
      </c>
    </row>
    <row r="505" spans="1:16" hidden="1" x14ac:dyDescent="0.2">
      <c r="A505" s="13" t="s">
        <v>488</v>
      </c>
      <c r="B505" s="13" t="s">
        <v>290</v>
      </c>
      <c r="C505" s="13" t="s">
        <v>506</v>
      </c>
      <c r="D505" s="15" t="s">
        <v>330</v>
      </c>
      <c r="E505" s="15" t="s">
        <v>10</v>
      </c>
      <c r="F505" s="15" t="s">
        <v>11</v>
      </c>
      <c r="G505" s="15">
        <v>128</v>
      </c>
      <c r="H505" s="15"/>
      <c r="I505" s="15"/>
      <c r="J505" s="15" t="s">
        <v>465</v>
      </c>
      <c r="K505" s="15" t="s">
        <v>13</v>
      </c>
      <c r="L505" s="15">
        <v>50</v>
      </c>
      <c r="M505" s="15"/>
      <c r="N505" t="str">
        <f t="shared" si="16"/>
        <v>TranscriptQuickAssessmentRoster(ST)-TestTranscript(CSOD)User ID*</v>
      </c>
      <c r="O505" t="str">
        <f t="shared" si="15"/>
        <v/>
      </c>
      <c r="P505" t="e">
        <f>VLOOKUP(N505,'[1]Sheet1 (2)'!$L:$M,2,0)</f>
        <v>#N/A</v>
      </c>
    </row>
    <row r="506" spans="1:16" hidden="1" x14ac:dyDescent="0.2">
      <c r="A506" s="13" t="s">
        <v>488</v>
      </c>
      <c r="B506" s="13" t="s">
        <v>290</v>
      </c>
      <c r="C506" s="13" t="s">
        <v>506</v>
      </c>
      <c r="D506" s="15" t="s">
        <v>262</v>
      </c>
      <c r="E506" s="15" t="s">
        <v>10</v>
      </c>
      <c r="F506" s="15" t="s">
        <v>11</v>
      </c>
      <c r="G506" s="15">
        <v>100</v>
      </c>
      <c r="H506" s="15"/>
      <c r="I506" s="15"/>
      <c r="J506" s="15" t="s">
        <v>94</v>
      </c>
      <c r="K506" s="15" t="s">
        <v>13</v>
      </c>
      <c r="L506" s="15">
        <v>255</v>
      </c>
      <c r="M506" s="15"/>
      <c r="N506" t="str">
        <f t="shared" si="16"/>
        <v>TranscriptQuickAssessmentRoster(ST)-TestTranscript(CSOD)Test ID*</v>
      </c>
      <c r="O506" t="str">
        <f t="shared" si="15"/>
        <v/>
      </c>
      <c r="P506" t="e">
        <f>VLOOKUP(N506,'[1]Sheet1 (2)'!$L:$M,2,0)</f>
        <v>#N/A</v>
      </c>
    </row>
    <row r="507" spans="1:16" hidden="1" x14ac:dyDescent="0.2">
      <c r="A507" s="13" t="s">
        <v>488</v>
      </c>
      <c r="B507" s="13" t="s">
        <v>290</v>
      </c>
      <c r="C507" s="13" t="s">
        <v>506</v>
      </c>
      <c r="D507" s="15" t="s">
        <v>466</v>
      </c>
      <c r="E507" s="15" t="s">
        <v>10</v>
      </c>
      <c r="F507" s="15" t="s">
        <v>11</v>
      </c>
      <c r="G507" s="15">
        <v>50</v>
      </c>
      <c r="H507" s="15"/>
      <c r="I507" s="15"/>
      <c r="J507" s="15" t="s">
        <v>490</v>
      </c>
      <c r="K507" s="15" t="s">
        <v>13</v>
      </c>
      <c r="L507" s="15">
        <v>50</v>
      </c>
      <c r="M507" s="15"/>
      <c r="N507" t="str">
        <f t="shared" si="16"/>
        <v>TranscriptQuickAssessmentRoster(ST)-TestTranscript(CSOD)Transcript Status*</v>
      </c>
      <c r="O507" t="str">
        <f t="shared" si="15"/>
        <v/>
      </c>
      <c r="P507" t="e">
        <f>VLOOKUP(N507,'[1]Sheet1 (2)'!$L:$M,2,0)</f>
        <v>#N/A</v>
      </c>
    </row>
    <row r="508" spans="1:16" hidden="1" x14ac:dyDescent="0.2">
      <c r="A508" s="13" t="s">
        <v>488</v>
      </c>
      <c r="B508" s="13" t="s">
        <v>290</v>
      </c>
      <c r="C508" s="13" t="s">
        <v>506</v>
      </c>
      <c r="D508" s="15" t="s">
        <v>468</v>
      </c>
      <c r="E508" s="15" t="s">
        <v>10</v>
      </c>
      <c r="F508" s="15" t="s">
        <v>140</v>
      </c>
      <c r="G508" s="15"/>
      <c r="H508" s="15"/>
      <c r="I508" s="15"/>
      <c r="J508" s="15" t="s">
        <v>469</v>
      </c>
      <c r="K508" s="15" t="s">
        <v>140</v>
      </c>
      <c r="L508" s="15"/>
      <c r="M508" s="15"/>
      <c r="N508" t="str">
        <f t="shared" si="16"/>
        <v>TranscriptQuickAssessmentRoster(ST)-TestTranscript(CSOD)Request Date/Time*</v>
      </c>
      <c r="O508" t="str">
        <f t="shared" si="15"/>
        <v/>
      </c>
      <c r="P508" t="e">
        <f>VLOOKUP(N508,'[1]Sheet1 (2)'!$L:$M,2,0)</f>
        <v>#N/A</v>
      </c>
    </row>
    <row r="509" spans="1:16" hidden="1" x14ac:dyDescent="0.2">
      <c r="A509" s="13" t="s">
        <v>488</v>
      </c>
      <c r="B509" s="13" t="s">
        <v>290</v>
      </c>
      <c r="C509" s="13" t="s">
        <v>506</v>
      </c>
      <c r="D509" s="15" t="s">
        <v>470</v>
      </c>
      <c r="E509" s="15" t="s">
        <v>10</v>
      </c>
      <c r="F509" s="15" t="s">
        <v>140</v>
      </c>
      <c r="G509" s="15"/>
      <c r="H509" s="15"/>
      <c r="I509" s="15"/>
      <c r="J509" s="15" t="s">
        <v>469</v>
      </c>
      <c r="K509" s="15" t="s">
        <v>140</v>
      </c>
      <c r="L509" s="15"/>
      <c r="M509" s="15"/>
      <c r="N509" t="str">
        <f t="shared" si="16"/>
        <v>TranscriptQuickAssessmentRoster(ST)-TestTranscript(CSOD)Registration Date/Time*</v>
      </c>
      <c r="O509" t="str">
        <f t="shared" si="15"/>
        <v/>
      </c>
      <c r="P509" t="e">
        <f>VLOOKUP(N509,'[1]Sheet1 (2)'!$L:$M,2,0)</f>
        <v>#N/A</v>
      </c>
    </row>
    <row r="510" spans="1:16" hidden="1" x14ac:dyDescent="0.2">
      <c r="A510" s="13" t="s">
        <v>488</v>
      </c>
      <c r="B510" s="13" t="s">
        <v>290</v>
      </c>
      <c r="C510" s="13" t="s">
        <v>506</v>
      </c>
      <c r="D510" s="15" t="s">
        <v>471</v>
      </c>
      <c r="E510" s="15" t="s">
        <v>17</v>
      </c>
      <c r="F510" s="15" t="s">
        <v>85</v>
      </c>
      <c r="G510" s="15"/>
      <c r="H510" s="15"/>
      <c r="I510" s="17" t="s">
        <v>472</v>
      </c>
      <c r="J510" s="15"/>
      <c r="K510" s="15"/>
      <c r="L510" s="15"/>
      <c r="M510" s="15"/>
      <c r="N510" t="str">
        <f t="shared" si="16"/>
        <v>TranscriptQuickAssessmentRoster(ST)-TestTranscript(CSOD)Transcript Action</v>
      </c>
      <c r="O510" t="str">
        <f t="shared" si="15"/>
        <v/>
      </c>
      <c r="P510" t="e">
        <f>VLOOKUP(N510,'[1]Sheet1 (2)'!$L:$M,2,0)</f>
        <v>#N/A</v>
      </c>
    </row>
    <row r="511" spans="1:16" hidden="1" x14ac:dyDescent="0.2">
      <c r="A511" s="13" t="s">
        <v>488</v>
      </c>
      <c r="B511" s="13" t="s">
        <v>290</v>
      </c>
      <c r="C511" s="13" t="s">
        <v>506</v>
      </c>
      <c r="D511" s="15" t="s">
        <v>473</v>
      </c>
      <c r="E511" s="15" t="s">
        <v>17</v>
      </c>
      <c r="F511" s="15" t="s">
        <v>140</v>
      </c>
      <c r="G511" s="15"/>
      <c r="H511" s="15"/>
      <c r="I511" s="15"/>
      <c r="J511" s="15" t="s">
        <v>474</v>
      </c>
      <c r="K511" s="15" t="s">
        <v>140</v>
      </c>
      <c r="L511" s="15"/>
      <c r="M511" s="15"/>
      <c r="N511" t="str">
        <f t="shared" si="16"/>
        <v>TranscriptQuickAssessmentRoster(ST)-TestTranscript(CSOD)Completion Date/Time</v>
      </c>
      <c r="O511" t="str">
        <f t="shared" si="15"/>
        <v/>
      </c>
      <c r="P511" t="e">
        <f>VLOOKUP(N511,'[1]Sheet1 (2)'!$L:$M,2,0)</f>
        <v>#N/A</v>
      </c>
    </row>
    <row r="512" spans="1:16" hidden="1" x14ac:dyDescent="0.2">
      <c r="A512" s="13" t="s">
        <v>488</v>
      </c>
      <c r="B512" s="13" t="s">
        <v>290</v>
      </c>
      <c r="C512" s="13" t="s">
        <v>506</v>
      </c>
      <c r="D512" s="15" t="s">
        <v>475</v>
      </c>
      <c r="E512" s="15" t="s">
        <v>17</v>
      </c>
      <c r="F512" s="15" t="s">
        <v>140</v>
      </c>
      <c r="G512" s="15"/>
      <c r="H512" s="15" t="s">
        <v>507</v>
      </c>
      <c r="I512" s="15"/>
      <c r="J512" s="15" t="s">
        <v>476</v>
      </c>
      <c r="K512" s="15" t="s">
        <v>140</v>
      </c>
      <c r="L512" s="15"/>
      <c r="M512" s="15"/>
      <c r="N512" t="str">
        <f t="shared" si="16"/>
        <v>TranscriptQuickAssessmentRoster(ST)-TestTranscript(CSOD)Due Date/Time‡</v>
      </c>
      <c r="O512" t="str">
        <f t="shared" si="15"/>
        <v>Update ONLY for this transcript</v>
      </c>
      <c r="P512" t="e">
        <f>VLOOKUP(N512,'[1]Sheet1 (2)'!$L:$M,2,0)</f>
        <v>#N/A</v>
      </c>
    </row>
    <row r="513" spans="1:16" hidden="1" x14ac:dyDescent="0.2">
      <c r="A513" s="13" t="s">
        <v>488</v>
      </c>
      <c r="B513" s="13" t="s">
        <v>290</v>
      </c>
      <c r="C513" s="13" t="s">
        <v>506</v>
      </c>
      <c r="D513" s="15" t="s">
        <v>491</v>
      </c>
      <c r="E513" s="15" t="s">
        <v>17</v>
      </c>
      <c r="F513" s="15" t="s">
        <v>11</v>
      </c>
      <c r="G513" s="15"/>
      <c r="H513" s="15" t="s">
        <v>507</v>
      </c>
      <c r="I513" s="15"/>
      <c r="J513" s="15"/>
      <c r="K513" s="15"/>
      <c r="L513" s="15"/>
      <c r="M513" s="15"/>
      <c r="N513" t="str">
        <f t="shared" si="16"/>
        <v>TranscriptQuickAssessmentRoster(ST)-TestTranscript(CSOD)Due Date Action type</v>
      </c>
      <c r="O513" t="str">
        <f t="shared" si="15"/>
        <v>Update ONLY for this transcript</v>
      </c>
      <c r="P513" t="e">
        <f>VLOOKUP(N513,'[1]Sheet1 (2)'!$L:$M,2,0)</f>
        <v>#N/A</v>
      </c>
    </row>
    <row r="514" spans="1:16" hidden="1" x14ac:dyDescent="0.2">
      <c r="A514" s="13" t="s">
        <v>488</v>
      </c>
      <c r="B514" s="13" t="s">
        <v>290</v>
      </c>
      <c r="C514" s="13" t="s">
        <v>506</v>
      </c>
      <c r="D514" s="15" t="s">
        <v>495</v>
      </c>
      <c r="E514" s="15" t="s">
        <v>17</v>
      </c>
      <c r="F514" s="15" t="s">
        <v>96</v>
      </c>
      <c r="G514" s="15">
        <v>100</v>
      </c>
      <c r="H514" s="15" t="s">
        <v>507</v>
      </c>
      <c r="I514" s="15"/>
      <c r="J514" s="15" t="s">
        <v>495</v>
      </c>
      <c r="K514" s="15" t="s">
        <v>496</v>
      </c>
      <c r="L514" s="15"/>
      <c r="M514" s="15"/>
      <c r="N514" t="str">
        <f t="shared" si="16"/>
        <v>TranscriptQuickAssessmentRoster(ST)-TestTranscript(CSOD)Score</v>
      </c>
      <c r="O514" t="str">
        <f t="shared" si="15"/>
        <v>Update ONLY for this transcript</v>
      </c>
      <c r="P514" t="str">
        <f>VLOOKUP(N514,'[1]Sheet1 (2)'!$L:$M,2,0)</f>
        <v/>
      </c>
    </row>
    <row r="515" spans="1:16" ht="48" hidden="1" x14ac:dyDescent="0.2">
      <c r="A515" s="13" t="s">
        <v>488</v>
      </c>
      <c r="B515" s="13" t="s">
        <v>290</v>
      </c>
      <c r="C515" s="13" t="s">
        <v>506</v>
      </c>
      <c r="D515" s="15" t="s">
        <v>477</v>
      </c>
      <c r="E515" s="15" t="s">
        <v>17</v>
      </c>
      <c r="F515" s="15" t="s">
        <v>18</v>
      </c>
      <c r="G515" s="15"/>
      <c r="H515" s="15" t="b">
        <v>0</v>
      </c>
      <c r="I515" s="17" t="s">
        <v>19</v>
      </c>
      <c r="J515" s="15"/>
      <c r="K515" s="15"/>
      <c r="L515" s="15"/>
      <c r="M515" s="15"/>
      <c r="N515" t="str">
        <f t="shared" si="16"/>
        <v>TranscriptQuickAssessmentRoster(ST)-TestTranscript(CSOD)Archived</v>
      </c>
      <c r="O515" t="b">
        <f t="shared" ref="O515:O523" si="17">IF(H515="","",H515)</f>
        <v>0</v>
      </c>
      <c r="P515" t="e">
        <f>VLOOKUP(N515,'[1]Sheet1 (2)'!$L:$M,2,0)</f>
        <v>#N/A</v>
      </c>
    </row>
    <row r="516" spans="1:16" hidden="1" x14ac:dyDescent="0.2">
      <c r="A516" s="13" t="s">
        <v>488</v>
      </c>
      <c r="B516" s="13" t="s">
        <v>290</v>
      </c>
      <c r="C516" s="13" t="s">
        <v>506</v>
      </c>
      <c r="D516" s="15" t="s">
        <v>478</v>
      </c>
      <c r="E516" s="15" t="s">
        <v>17</v>
      </c>
      <c r="F516" s="15" t="s">
        <v>11</v>
      </c>
      <c r="G516" s="15"/>
      <c r="H516" s="22">
        <v>0</v>
      </c>
      <c r="I516" s="15"/>
      <c r="J516" s="15"/>
      <c r="K516" s="15"/>
      <c r="L516" s="15"/>
      <c r="M516" s="15"/>
      <c r="N516" t="str">
        <f t="shared" si="16"/>
        <v>TranscriptQuickAssessmentRoster(ST)-TestTranscript(CSOD)User Exempt Reason</v>
      </c>
      <c r="O516">
        <f t="shared" si="17"/>
        <v>0</v>
      </c>
      <c r="P516">
        <f>VLOOKUP(N516,'[1]Sheet1 (2)'!$L:$M,2,0)</f>
        <v>0</v>
      </c>
    </row>
    <row r="517" spans="1:16" hidden="1" x14ac:dyDescent="0.2">
      <c r="A517" s="13" t="s">
        <v>488</v>
      </c>
      <c r="B517" s="13" t="s">
        <v>290</v>
      </c>
      <c r="C517" s="13" t="s">
        <v>506</v>
      </c>
      <c r="D517" s="15" t="s">
        <v>479</v>
      </c>
      <c r="E517" s="15" t="s">
        <v>17</v>
      </c>
      <c r="F517" s="15" t="s">
        <v>11</v>
      </c>
      <c r="G517" s="15"/>
      <c r="H517" s="22">
        <v>0</v>
      </c>
      <c r="I517" s="15"/>
      <c r="J517" s="15"/>
      <c r="K517" s="15"/>
      <c r="L517" s="15"/>
      <c r="M517" s="15"/>
      <c r="N517" t="str">
        <f t="shared" si="16"/>
        <v>TranscriptQuickAssessmentRoster(ST)-TestTranscript(CSOD)Approver Exempt Reason</v>
      </c>
      <c r="O517">
        <f t="shared" si="17"/>
        <v>0</v>
      </c>
      <c r="P517">
        <f>VLOOKUP(N517,'[1]Sheet1 (2)'!$L:$M,2,0)</f>
        <v>0</v>
      </c>
    </row>
    <row r="518" spans="1:16" hidden="1" x14ac:dyDescent="0.2">
      <c r="A518" s="13" t="s">
        <v>488</v>
      </c>
      <c r="B518" s="13" t="s">
        <v>290</v>
      </c>
      <c r="C518" s="13" t="s">
        <v>506</v>
      </c>
      <c r="D518" s="15" t="s">
        <v>480</v>
      </c>
      <c r="E518" s="15" t="s">
        <v>17</v>
      </c>
      <c r="F518" s="15" t="s">
        <v>11</v>
      </c>
      <c r="G518" s="15">
        <v>100</v>
      </c>
      <c r="H518" s="15"/>
      <c r="I518" s="15"/>
      <c r="J518" s="15"/>
      <c r="K518" s="15"/>
      <c r="L518" s="15"/>
      <c r="M518" s="15"/>
      <c r="N518" t="str">
        <f t="shared" si="16"/>
        <v>TranscriptQuickAssessmentRoster(ST)-TestTranscript(CSOD)User's Exemption Comments</v>
      </c>
      <c r="O518" t="str">
        <f t="shared" si="17"/>
        <v/>
      </c>
      <c r="P518" t="e">
        <f>VLOOKUP(N518,'[1]Sheet1 (2)'!$L:$M,2,0)</f>
        <v>#N/A</v>
      </c>
    </row>
    <row r="519" spans="1:16" hidden="1" x14ac:dyDescent="0.2">
      <c r="A519" s="13" t="s">
        <v>488</v>
      </c>
      <c r="B519" s="13" t="s">
        <v>290</v>
      </c>
      <c r="C519" s="13" t="s">
        <v>506</v>
      </c>
      <c r="D519" s="15" t="s">
        <v>481</v>
      </c>
      <c r="E519" s="15" t="s">
        <v>17</v>
      </c>
      <c r="F519" s="15" t="s">
        <v>11</v>
      </c>
      <c r="G519" s="15">
        <v>100</v>
      </c>
      <c r="H519" s="15"/>
      <c r="I519" s="15"/>
      <c r="J519" s="15"/>
      <c r="K519" s="15"/>
      <c r="L519" s="15"/>
      <c r="M519" s="15"/>
      <c r="N519" t="str">
        <f t="shared" ref="N519:N523" si="18">_xlfn.CONCAT(A519,C519,D519)</f>
        <v>TranscriptQuickAssessmentRoster(ST)-TestTranscript(CSOD)Approver's Exemption Comments</v>
      </c>
      <c r="O519" t="str">
        <f t="shared" si="17"/>
        <v/>
      </c>
      <c r="P519" t="e">
        <f>VLOOKUP(N519,'[1]Sheet1 (2)'!$L:$M,2,0)</f>
        <v>#N/A</v>
      </c>
    </row>
    <row r="520" spans="1:16" hidden="1" x14ac:dyDescent="0.2">
      <c r="A520" s="13" t="s">
        <v>488</v>
      </c>
      <c r="B520" s="13" t="s">
        <v>290</v>
      </c>
      <c r="C520" s="13" t="s">
        <v>506</v>
      </c>
      <c r="D520" s="15" t="s">
        <v>482</v>
      </c>
      <c r="E520" s="15" t="s">
        <v>17</v>
      </c>
      <c r="F520" s="15" t="s">
        <v>11</v>
      </c>
      <c r="G520" s="15">
        <v>128</v>
      </c>
      <c r="H520" s="15"/>
      <c r="I520" s="15"/>
      <c r="J520" s="15"/>
      <c r="K520" s="15"/>
      <c r="L520" s="15"/>
      <c r="M520" s="15"/>
      <c r="N520" t="str">
        <f t="shared" si="18"/>
        <v>TranscriptQuickAssessmentRoster(ST)-TestTranscript(CSOD)Exempt By</v>
      </c>
      <c r="O520" t="str">
        <f t="shared" si="17"/>
        <v/>
      </c>
      <c r="P520" t="e">
        <f>VLOOKUP(N520,'[1]Sheet1 (2)'!$L:$M,2,0)</f>
        <v>#N/A</v>
      </c>
    </row>
    <row r="521" spans="1:16" hidden="1" x14ac:dyDescent="0.2">
      <c r="A521" s="13" t="s">
        <v>488</v>
      </c>
      <c r="B521" s="13" t="s">
        <v>290</v>
      </c>
      <c r="C521" s="13" t="s">
        <v>506</v>
      </c>
      <c r="D521" s="15" t="s">
        <v>483</v>
      </c>
      <c r="E521" s="15" t="s">
        <v>17</v>
      </c>
      <c r="F521" s="15" t="s">
        <v>11</v>
      </c>
      <c r="G521" s="15">
        <v>245</v>
      </c>
      <c r="H521" s="15"/>
      <c r="I521" s="15"/>
      <c r="J521" s="15" t="s">
        <v>492</v>
      </c>
      <c r="K521" s="15" t="s">
        <v>13</v>
      </c>
      <c r="L521" s="15"/>
      <c r="M521" s="15"/>
      <c r="N521" t="str">
        <f t="shared" si="18"/>
        <v>TranscriptQuickAssessmentRoster(ST)-TestTranscript(CSOD)Comments</v>
      </c>
      <c r="O521" t="str">
        <f t="shared" si="17"/>
        <v/>
      </c>
      <c r="P521" t="e">
        <f>VLOOKUP(N521,'[1]Sheet1 (2)'!$L:$M,2,0)</f>
        <v>#N/A</v>
      </c>
    </row>
    <row r="522" spans="1:16" hidden="1" x14ac:dyDescent="0.2">
      <c r="A522" s="13" t="s">
        <v>488</v>
      </c>
      <c r="B522" s="13" t="s">
        <v>290</v>
      </c>
      <c r="C522" s="13" t="s">
        <v>506</v>
      </c>
      <c r="D522" s="15" t="s">
        <v>485</v>
      </c>
      <c r="E522" s="15" t="s">
        <v>17</v>
      </c>
      <c r="F522" s="15" t="s">
        <v>85</v>
      </c>
      <c r="G522" s="15"/>
      <c r="H522" s="15"/>
      <c r="I522" s="17" t="s">
        <v>486</v>
      </c>
      <c r="J522" s="15"/>
      <c r="K522" s="15"/>
      <c r="L522" s="15"/>
      <c r="M522" s="15"/>
      <c r="N522" t="str">
        <f t="shared" si="18"/>
        <v>TranscriptQuickAssessmentRoster(ST)-TestTranscript(CSOD)Training Points</v>
      </c>
      <c r="O522" t="str">
        <f t="shared" si="17"/>
        <v/>
      </c>
      <c r="P522" t="e">
        <f>VLOOKUP(N522,'[1]Sheet1 (2)'!$L:$M,2,0)</f>
        <v>#N/A</v>
      </c>
    </row>
    <row r="523" spans="1:16" hidden="1" x14ac:dyDescent="0.2">
      <c r="A523" s="13" t="s">
        <v>488</v>
      </c>
      <c r="B523" s="13" t="s">
        <v>290</v>
      </c>
      <c r="C523" s="13" t="s">
        <v>506</v>
      </c>
      <c r="D523" s="15" t="s">
        <v>487</v>
      </c>
      <c r="E523" s="15" t="s">
        <v>17</v>
      </c>
      <c r="F523" s="15" t="s">
        <v>85</v>
      </c>
      <c r="G523" s="15"/>
      <c r="H523" s="15"/>
      <c r="I523" s="17" t="s">
        <v>486</v>
      </c>
      <c r="J523" s="15"/>
      <c r="K523" s="15"/>
      <c r="L523" s="15"/>
      <c r="M523" s="15"/>
      <c r="N523" t="str">
        <f t="shared" si="18"/>
        <v>TranscriptQuickAssessmentRoster(ST)-TestTranscript(CSOD)Training Badge</v>
      </c>
      <c r="O523" t="str">
        <f t="shared" si="17"/>
        <v/>
      </c>
      <c r="P523" t="e">
        <f>VLOOKUP(N523,'[1]Sheet1 (2)'!$L:$M,2,0)</f>
        <v>#N/A</v>
      </c>
    </row>
  </sheetData>
  <autoFilter ref="A1:P523" xr:uid="{EF1C4B06-07F8-3342-8F4A-5E50F5CFD477}">
    <filterColumn colId="0">
      <filters>
        <filter val="Transcript"/>
      </filters>
    </filterColumn>
    <filterColumn colId="1">
      <filters>
        <filter val="ILT Class"/>
      </filters>
    </filterColumn>
  </autoFilter>
  <hyperlinks>
    <hyperlink ref="H48" r:id="rId1" xr:uid="{D4010A33-F7A9-C748-A55D-91921FA48468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92FAC-4EE2-5D4E-9BF8-03C8A3D9EC9A}">
  <dimension ref="A1:B357"/>
  <sheetViews>
    <sheetView workbookViewId="0">
      <selection activeCell="F2" sqref="F2"/>
    </sheetView>
  </sheetViews>
  <sheetFormatPr baseColWidth="10" defaultRowHeight="16" x14ac:dyDescent="0.2"/>
  <cols>
    <col min="1" max="1" width="90" bestFit="1" customWidth="1"/>
  </cols>
  <sheetData>
    <row r="1" spans="1:2" x14ac:dyDescent="0.2">
      <c r="A1" t="s">
        <v>868</v>
      </c>
      <c r="B1" t="s">
        <v>869</v>
      </c>
    </row>
    <row r="2" spans="1:2" x14ac:dyDescent="0.2">
      <c r="A2" t="s">
        <v>511</v>
      </c>
      <c r="B2" t="s">
        <v>867</v>
      </c>
    </row>
    <row r="3" spans="1:2" x14ac:dyDescent="0.2">
      <c r="A3" t="s">
        <v>512</v>
      </c>
      <c r="B3" t="s">
        <v>867</v>
      </c>
    </row>
    <row r="4" spans="1:2" x14ac:dyDescent="0.2">
      <c r="A4" t="s">
        <v>513</v>
      </c>
      <c r="B4" t="b">
        <v>0</v>
      </c>
    </row>
    <row r="5" spans="1:2" x14ac:dyDescent="0.2">
      <c r="A5" t="s">
        <v>514</v>
      </c>
      <c r="B5" t="b">
        <v>0</v>
      </c>
    </row>
    <row r="6" spans="1:2" x14ac:dyDescent="0.2">
      <c r="A6" t="s">
        <v>515</v>
      </c>
      <c r="B6" t="s">
        <v>867</v>
      </c>
    </row>
    <row r="7" spans="1:2" x14ac:dyDescent="0.2">
      <c r="A7" t="s">
        <v>516</v>
      </c>
      <c r="B7" t="s">
        <v>867</v>
      </c>
    </row>
    <row r="8" spans="1:2" x14ac:dyDescent="0.2">
      <c r="A8" t="s">
        <v>517</v>
      </c>
      <c r="B8" t="b">
        <v>0</v>
      </c>
    </row>
    <row r="9" spans="1:2" x14ac:dyDescent="0.2">
      <c r="A9" t="s">
        <v>518</v>
      </c>
      <c r="B9" t="b">
        <v>0</v>
      </c>
    </row>
    <row r="10" spans="1:2" x14ac:dyDescent="0.2">
      <c r="A10" t="s">
        <v>519</v>
      </c>
      <c r="B10" t="s">
        <v>867</v>
      </c>
    </row>
    <row r="11" spans="1:2" x14ac:dyDescent="0.2">
      <c r="A11" t="s">
        <v>520</v>
      </c>
      <c r="B11" t="s">
        <v>867</v>
      </c>
    </row>
    <row r="12" spans="1:2" x14ac:dyDescent="0.2">
      <c r="A12" t="s">
        <v>521</v>
      </c>
      <c r="B12" t="b">
        <v>0</v>
      </c>
    </row>
    <row r="13" spans="1:2" x14ac:dyDescent="0.2">
      <c r="A13" t="s">
        <v>522</v>
      </c>
      <c r="B13" t="s">
        <v>867</v>
      </c>
    </row>
    <row r="14" spans="1:2" x14ac:dyDescent="0.2">
      <c r="A14" t="s">
        <v>523</v>
      </c>
      <c r="B14" t="s">
        <v>867</v>
      </c>
    </row>
    <row r="15" spans="1:2" x14ac:dyDescent="0.2">
      <c r="A15" t="s">
        <v>524</v>
      </c>
      <c r="B15" t="s">
        <v>867</v>
      </c>
    </row>
    <row r="16" spans="1:2" x14ac:dyDescent="0.2">
      <c r="A16" t="s">
        <v>525</v>
      </c>
      <c r="B16" t="s">
        <v>867</v>
      </c>
    </row>
    <row r="17" spans="1:2" x14ac:dyDescent="0.2">
      <c r="A17" t="s">
        <v>526</v>
      </c>
      <c r="B17" t="s">
        <v>867</v>
      </c>
    </row>
    <row r="18" spans="1:2" x14ac:dyDescent="0.2">
      <c r="A18" t="s">
        <v>527</v>
      </c>
      <c r="B18" t="s">
        <v>867</v>
      </c>
    </row>
    <row r="19" spans="1:2" x14ac:dyDescent="0.2">
      <c r="A19" t="s">
        <v>528</v>
      </c>
      <c r="B19">
        <v>1</v>
      </c>
    </row>
    <row r="20" spans="1:2" x14ac:dyDescent="0.2">
      <c r="A20" t="s">
        <v>529</v>
      </c>
      <c r="B20" t="s">
        <v>867</v>
      </c>
    </row>
    <row r="21" spans="1:2" x14ac:dyDescent="0.2">
      <c r="A21" t="s">
        <v>530</v>
      </c>
      <c r="B21" t="s">
        <v>867</v>
      </c>
    </row>
    <row r="22" spans="1:2" x14ac:dyDescent="0.2">
      <c r="A22" t="s">
        <v>531</v>
      </c>
      <c r="B22" t="s">
        <v>867</v>
      </c>
    </row>
    <row r="23" spans="1:2" x14ac:dyDescent="0.2">
      <c r="A23" t="s">
        <v>532</v>
      </c>
      <c r="B23" t="b">
        <v>0</v>
      </c>
    </row>
    <row r="24" spans="1:2" x14ac:dyDescent="0.2">
      <c r="A24" t="s">
        <v>533</v>
      </c>
      <c r="B24" t="s">
        <v>867</v>
      </c>
    </row>
    <row r="25" spans="1:2" x14ac:dyDescent="0.2">
      <c r="A25" t="s">
        <v>534</v>
      </c>
      <c r="B25" t="s">
        <v>867</v>
      </c>
    </row>
    <row r="26" spans="1:2" x14ac:dyDescent="0.2">
      <c r="A26" t="s">
        <v>535</v>
      </c>
      <c r="B26" t="s">
        <v>867</v>
      </c>
    </row>
    <row r="27" spans="1:2" x14ac:dyDescent="0.2">
      <c r="A27" t="s">
        <v>536</v>
      </c>
      <c r="B27" t="s">
        <v>867</v>
      </c>
    </row>
    <row r="28" spans="1:2" x14ac:dyDescent="0.2">
      <c r="A28" t="s">
        <v>537</v>
      </c>
      <c r="B28" t="s">
        <v>867</v>
      </c>
    </row>
    <row r="29" spans="1:2" x14ac:dyDescent="0.2">
      <c r="A29" t="s">
        <v>538</v>
      </c>
      <c r="B29" t="s">
        <v>86</v>
      </c>
    </row>
    <row r="30" spans="1:2" x14ac:dyDescent="0.2">
      <c r="A30" t="s">
        <v>539</v>
      </c>
      <c r="B30" t="b">
        <v>0</v>
      </c>
    </row>
    <row r="31" spans="1:2" x14ac:dyDescent="0.2">
      <c r="A31" t="s">
        <v>540</v>
      </c>
      <c r="B31" t="s">
        <v>123</v>
      </c>
    </row>
    <row r="32" spans="1:2" x14ac:dyDescent="0.2">
      <c r="A32" t="s">
        <v>541</v>
      </c>
      <c r="B32" t="s">
        <v>867</v>
      </c>
    </row>
    <row r="33" spans="1:2" x14ac:dyDescent="0.2">
      <c r="A33" t="s">
        <v>542</v>
      </c>
      <c r="B33" t="b">
        <v>0</v>
      </c>
    </row>
    <row r="34" spans="1:2" x14ac:dyDescent="0.2">
      <c r="A34" t="s">
        <v>543</v>
      </c>
      <c r="B34" t="s">
        <v>867</v>
      </c>
    </row>
    <row r="35" spans="1:2" x14ac:dyDescent="0.2">
      <c r="A35" t="s">
        <v>544</v>
      </c>
      <c r="B35" t="b">
        <v>0</v>
      </c>
    </row>
    <row r="36" spans="1:2" x14ac:dyDescent="0.2">
      <c r="A36" t="s">
        <v>545</v>
      </c>
      <c r="B36" t="s">
        <v>867</v>
      </c>
    </row>
    <row r="37" spans="1:2" x14ac:dyDescent="0.2">
      <c r="A37" t="s">
        <v>546</v>
      </c>
      <c r="B37" t="b">
        <v>0</v>
      </c>
    </row>
    <row r="38" spans="1:2" x14ac:dyDescent="0.2">
      <c r="A38" t="s">
        <v>547</v>
      </c>
      <c r="B38" t="s">
        <v>867</v>
      </c>
    </row>
    <row r="39" spans="1:2" x14ac:dyDescent="0.2">
      <c r="A39" t="s">
        <v>548</v>
      </c>
      <c r="B39">
        <v>0</v>
      </c>
    </row>
    <row r="40" spans="1:2" x14ac:dyDescent="0.2">
      <c r="A40" t="s">
        <v>549</v>
      </c>
      <c r="B40" t="b">
        <v>0</v>
      </c>
    </row>
    <row r="41" spans="1:2" x14ac:dyDescent="0.2">
      <c r="A41" t="s">
        <v>550</v>
      </c>
      <c r="B41" t="s">
        <v>867</v>
      </c>
    </row>
    <row r="42" spans="1:2" x14ac:dyDescent="0.2">
      <c r="A42" t="s">
        <v>551</v>
      </c>
      <c r="B42" t="s">
        <v>867</v>
      </c>
    </row>
    <row r="43" spans="1:2" x14ac:dyDescent="0.2">
      <c r="A43" t="s">
        <v>552</v>
      </c>
      <c r="B43" t="s">
        <v>867</v>
      </c>
    </row>
    <row r="44" spans="1:2" x14ac:dyDescent="0.2">
      <c r="A44" t="s">
        <v>553</v>
      </c>
      <c r="B44" t="s">
        <v>867</v>
      </c>
    </row>
    <row r="45" spans="1:2" x14ac:dyDescent="0.2">
      <c r="A45" t="s">
        <v>554</v>
      </c>
      <c r="B45" t="s">
        <v>867</v>
      </c>
    </row>
    <row r="46" spans="1:2" x14ac:dyDescent="0.2">
      <c r="A46" t="s">
        <v>555</v>
      </c>
      <c r="B46" t="s">
        <v>867</v>
      </c>
    </row>
    <row r="47" spans="1:2" x14ac:dyDescent="0.2">
      <c r="A47" t="s">
        <v>556</v>
      </c>
      <c r="B47" t="s">
        <v>867</v>
      </c>
    </row>
    <row r="48" spans="1:2" x14ac:dyDescent="0.2">
      <c r="A48" t="s">
        <v>557</v>
      </c>
      <c r="B48" t="s">
        <v>867</v>
      </c>
    </row>
    <row r="49" spans="1:2" x14ac:dyDescent="0.2">
      <c r="A49" t="s">
        <v>558</v>
      </c>
      <c r="B49" t="s">
        <v>867</v>
      </c>
    </row>
    <row r="50" spans="1:2" x14ac:dyDescent="0.2">
      <c r="A50" t="s">
        <v>559</v>
      </c>
      <c r="B50" t="s">
        <v>867</v>
      </c>
    </row>
    <row r="51" spans="1:2" x14ac:dyDescent="0.2">
      <c r="A51" t="s">
        <v>560</v>
      </c>
      <c r="B51" t="s">
        <v>867</v>
      </c>
    </row>
    <row r="52" spans="1:2" x14ac:dyDescent="0.2">
      <c r="A52" t="s">
        <v>561</v>
      </c>
      <c r="B52" t="s">
        <v>867</v>
      </c>
    </row>
    <row r="53" spans="1:2" x14ac:dyDescent="0.2">
      <c r="A53" t="s">
        <v>562</v>
      </c>
      <c r="B53" t="s">
        <v>867</v>
      </c>
    </row>
    <row r="54" spans="1:2" x14ac:dyDescent="0.2">
      <c r="A54" t="s">
        <v>563</v>
      </c>
      <c r="B54" t="s">
        <v>867</v>
      </c>
    </row>
    <row r="55" spans="1:2" x14ac:dyDescent="0.2">
      <c r="A55" t="s">
        <v>564</v>
      </c>
      <c r="B55" t="s">
        <v>867</v>
      </c>
    </row>
    <row r="56" spans="1:2" x14ac:dyDescent="0.2">
      <c r="A56" t="s">
        <v>565</v>
      </c>
      <c r="B56" t="s">
        <v>867</v>
      </c>
    </row>
    <row r="57" spans="1:2" x14ac:dyDescent="0.2">
      <c r="A57" t="s">
        <v>566</v>
      </c>
      <c r="B57" t="s">
        <v>867</v>
      </c>
    </row>
    <row r="58" spans="1:2" x14ac:dyDescent="0.2">
      <c r="A58" t="s">
        <v>567</v>
      </c>
      <c r="B58">
        <v>1</v>
      </c>
    </row>
    <row r="59" spans="1:2" x14ac:dyDescent="0.2">
      <c r="A59" t="s">
        <v>568</v>
      </c>
      <c r="B59" t="s">
        <v>867</v>
      </c>
    </row>
    <row r="60" spans="1:2" x14ac:dyDescent="0.2">
      <c r="A60" t="s">
        <v>569</v>
      </c>
      <c r="B60" t="s">
        <v>867</v>
      </c>
    </row>
    <row r="61" spans="1:2" x14ac:dyDescent="0.2">
      <c r="A61" t="s">
        <v>570</v>
      </c>
      <c r="B61" t="s">
        <v>867</v>
      </c>
    </row>
    <row r="62" spans="1:2" x14ac:dyDescent="0.2">
      <c r="A62" t="s">
        <v>571</v>
      </c>
      <c r="B62" t="s">
        <v>867</v>
      </c>
    </row>
    <row r="63" spans="1:2" x14ac:dyDescent="0.2">
      <c r="A63" t="s">
        <v>572</v>
      </c>
      <c r="B63" t="s">
        <v>867</v>
      </c>
    </row>
    <row r="64" spans="1:2" x14ac:dyDescent="0.2">
      <c r="A64" t="s">
        <v>573</v>
      </c>
      <c r="B64" t="s">
        <v>867</v>
      </c>
    </row>
    <row r="65" spans="1:2" x14ac:dyDescent="0.2">
      <c r="A65" t="s">
        <v>574</v>
      </c>
      <c r="B65" t="s">
        <v>867</v>
      </c>
    </row>
    <row r="66" spans="1:2" x14ac:dyDescent="0.2">
      <c r="A66" t="s">
        <v>575</v>
      </c>
      <c r="B66" t="s">
        <v>867</v>
      </c>
    </row>
    <row r="67" spans="1:2" x14ac:dyDescent="0.2">
      <c r="A67" t="s">
        <v>576</v>
      </c>
      <c r="B67" t="s">
        <v>867</v>
      </c>
    </row>
    <row r="68" spans="1:2" x14ac:dyDescent="0.2">
      <c r="A68" t="s">
        <v>577</v>
      </c>
      <c r="B68" t="s">
        <v>867</v>
      </c>
    </row>
    <row r="69" spans="1:2" x14ac:dyDescent="0.2">
      <c r="A69" t="s">
        <v>578</v>
      </c>
      <c r="B69" t="s">
        <v>86</v>
      </c>
    </row>
    <row r="70" spans="1:2" x14ac:dyDescent="0.2">
      <c r="A70" t="s">
        <v>579</v>
      </c>
      <c r="B70" t="s">
        <v>867</v>
      </c>
    </row>
    <row r="71" spans="1:2" x14ac:dyDescent="0.2">
      <c r="A71" t="s">
        <v>580</v>
      </c>
      <c r="B71" t="s">
        <v>867</v>
      </c>
    </row>
    <row r="72" spans="1:2" x14ac:dyDescent="0.2">
      <c r="A72" t="s">
        <v>581</v>
      </c>
      <c r="B72" t="s">
        <v>867</v>
      </c>
    </row>
    <row r="73" spans="1:2" x14ac:dyDescent="0.2">
      <c r="A73" t="s">
        <v>582</v>
      </c>
      <c r="B73">
        <v>1</v>
      </c>
    </row>
    <row r="74" spans="1:2" x14ac:dyDescent="0.2">
      <c r="A74" t="s">
        <v>583</v>
      </c>
      <c r="B74" t="s">
        <v>867</v>
      </c>
    </row>
    <row r="75" spans="1:2" x14ac:dyDescent="0.2">
      <c r="A75" t="s">
        <v>584</v>
      </c>
      <c r="B75" t="s">
        <v>867</v>
      </c>
    </row>
    <row r="76" spans="1:2" x14ac:dyDescent="0.2">
      <c r="A76" t="s">
        <v>585</v>
      </c>
      <c r="B76" t="s">
        <v>867</v>
      </c>
    </row>
    <row r="77" spans="1:2" x14ac:dyDescent="0.2">
      <c r="A77" t="s">
        <v>586</v>
      </c>
      <c r="B77" t="s">
        <v>867</v>
      </c>
    </row>
    <row r="78" spans="1:2" x14ac:dyDescent="0.2">
      <c r="A78" t="s">
        <v>587</v>
      </c>
      <c r="B78" t="s">
        <v>867</v>
      </c>
    </row>
    <row r="79" spans="1:2" x14ac:dyDescent="0.2">
      <c r="A79" t="s">
        <v>588</v>
      </c>
      <c r="B79" t="s">
        <v>867</v>
      </c>
    </row>
    <row r="80" spans="1:2" x14ac:dyDescent="0.2">
      <c r="A80" t="s">
        <v>589</v>
      </c>
      <c r="B80" t="s">
        <v>867</v>
      </c>
    </row>
    <row r="81" spans="1:2" x14ac:dyDescent="0.2">
      <c r="A81" t="s">
        <v>590</v>
      </c>
      <c r="B81" t="s">
        <v>867</v>
      </c>
    </row>
    <row r="82" spans="1:2" x14ac:dyDescent="0.2">
      <c r="A82" t="s">
        <v>591</v>
      </c>
      <c r="B82">
        <v>0</v>
      </c>
    </row>
    <row r="83" spans="1:2" x14ac:dyDescent="0.2">
      <c r="A83" t="s">
        <v>592</v>
      </c>
      <c r="B83" t="s">
        <v>867</v>
      </c>
    </row>
    <row r="84" spans="1:2" x14ac:dyDescent="0.2">
      <c r="A84" t="s">
        <v>593</v>
      </c>
      <c r="B84" t="s">
        <v>867</v>
      </c>
    </row>
    <row r="85" spans="1:2" x14ac:dyDescent="0.2">
      <c r="A85" t="s">
        <v>594</v>
      </c>
      <c r="B85" t="s">
        <v>867</v>
      </c>
    </row>
    <row r="86" spans="1:2" x14ac:dyDescent="0.2">
      <c r="A86" t="s">
        <v>595</v>
      </c>
      <c r="B86" t="s">
        <v>867</v>
      </c>
    </row>
    <row r="87" spans="1:2" x14ac:dyDescent="0.2">
      <c r="A87" t="s">
        <v>596</v>
      </c>
      <c r="B87" t="s">
        <v>867</v>
      </c>
    </row>
    <row r="88" spans="1:2" x14ac:dyDescent="0.2">
      <c r="A88" t="s">
        <v>597</v>
      </c>
      <c r="B88" t="s">
        <v>867</v>
      </c>
    </row>
    <row r="89" spans="1:2" x14ac:dyDescent="0.2">
      <c r="A89" t="s">
        <v>598</v>
      </c>
      <c r="B89" t="s">
        <v>867</v>
      </c>
    </row>
    <row r="90" spans="1:2" x14ac:dyDescent="0.2">
      <c r="A90" t="s">
        <v>599</v>
      </c>
      <c r="B90" t="s">
        <v>867</v>
      </c>
    </row>
    <row r="91" spans="1:2" x14ac:dyDescent="0.2">
      <c r="A91" t="s">
        <v>600</v>
      </c>
      <c r="B91" t="s">
        <v>867</v>
      </c>
    </row>
    <row r="92" spans="1:2" x14ac:dyDescent="0.2">
      <c r="A92" t="s">
        <v>601</v>
      </c>
      <c r="B92" t="b">
        <v>1</v>
      </c>
    </row>
    <row r="93" spans="1:2" x14ac:dyDescent="0.2">
      <c r="A93" t="s">
        <v>602</v>
      </c>
      <c r="B93" t="s">
        <v>867</v>
      </c>
    </row>
    <row r="94" spans="1:2" x14ac:dyDescent="0.2">
      <c r="A94" t="s">
        <v>603</v>
      </c>
      <c r="B94" t="s">
        <v>867</v>
      </c>
    </row>
    <row r="95" spans="1:2" x14ac:dyDescent="0.2">
      <c r="A95" t="s">
        <v>604</v>
      </c>
      <c r="B95" t="s">
        <v>867</v>
      </c>
    </row>
    <row r="96" spans="1:2" x14ac:dyDescent="0.2">
      <c r="A96" t="s">
        <v>605</v>
      </c>
      <c r="B96" t="s">
        <v>867</v>
      </c>
    </row>
    <row r="97" spans="1:2" x14ac:dyDescent="0.2">
      <c r="A97" t="s">
        <v>606</v>
      </c>
      <c r="B97">
        <v>0</v>
      </c>
    </row>
    <row r="98" spans="1:2" x14ac:dyDescent="0.2">
      <c r="A98" t="s">
        <v>607</v>
      </c>
      <c r="B98" t="s">
        <v>207</v>
      </c>
    </row>
    <row r="99" spans="1:2" x14ac:dyDescent="0.2">
      <c r="A99" t="s">
        <v>608</v>
      </c>
      <c r="B99" t="b">
        <v>1</v>
      </c>
    </row>
    <row r="100" spans="1:2" x14ac:dyDescent="0.2">
      <c r="A100" t="s">
        <v>609</v>
      </c>
      <c r="B100" t="s">
        <v>867</v>
      </c>
    </row>
    <row r="101" spans="1:2" x14ac:dyDescent="0.2">
      <c r="A101" t="s">
        <v>610</v>
      </c>
      <c r="B101" t="s">
        <v>867</v>
      </c>
    </row>
    <row r="102" spans="1:2" x14ac:dyDescent="0.2">
      <c r="A102" t="s">
        <v>611</v>
      </c>
      <c r="B102">
        <v>75</v>
      </c>
    </row>
    <row r="103" spans="1:2" x14ac:dyDescent="0.2">
      <c r="A103" t="s">
        <v>612</v>
      </c>
      <c r="B103">
        <v>0</v>
      </c>
    </row>
    <row r="104" spans="1:2" x14ac:dyDescent="0.2">
      <c r="A104" t="s">
        <v>613</v>
      </c>
      <c r="B104" t="s">
        <v>867</v>
      </c>
    </row>
    <row r="105" spans="1:2" x14ac:dyDescent="0.2">
      <c r="A105" t="s">
        <v>614</v>
      </c>
      <c r="B105" t="s">
        <v>867</v>
      </c>
    </row>
    <row r="106" spans="1:2" x14ac:dyDescent="0.2">
      <c r="A106" t="s">
        <v>615</v>
      </c>
      <c r="B106" t="s">
        <v>867</v>
      </c>
    </row>
    <row r="107" spans="1:2" x14ac:dyDescent="0.2">
      <c r="A107" t="s">
        <v>616</v>
      </c>
      <c r="B107" t="s">
        <v>205</v>
      </c>
    </row>
    <row r="108" spans="1:2" x14ac:dyDescent="0.2">
      <c r="A108" t="s">
        <v>617</v>
      </c>
      <c r="B108" t="b">
        <v>1</v>
      </c>
    </row>
    <row r="109" spans="1:2" x14ac:dyDescent="0.2">
      <c r="A109" t="s">
        <v>618</v>
      </c>
      <c r="B109" t="b">
        <v>1</v>
      </c>
    </row>
    <row r="110" spans="1:2" x14ac:dyDescent="0.2">
      <c r="A110" t="s">
        <v>619</v>
      </c>
      <c r="B110" t="b">
        <v>1</v>
      </c>
    </row>
    <row r="111" spans="1:2" x14ac:dyDescent="0.2">
      <c r="A111" t="s">
        <v>620</v>
      </c>
      <c r="B111" t="s">
        <v>867</v>
      </c>
    </row>
    <row r="112" spans="1:2" x14ac:dyDescent="0.2">
      <c r="A112" t="s">
        <v>621</v>
      </c>
      <c r="B112" t="b">
        <v>1</v>
      </c>
    </row>
    <row r="113" spans="1:2" x14ac:dyDescent="0.2">
      <c r="A113" t="s">
        <v>622</v>
      </c>
      <c r="B113" t="s">
        <v>867</v>
      </c>
    </row>
    <row r="114" spans="1:2" x14ac:dyDescent="0.2">
      <c r="A114" t="s">
        <v>623</v>
      </c>
      <c r="B114">
        <v>0</v>
      </c>
    </row>
    <row r="115" spans="1:2" x14ac:dyDescent="0.2">
      <c r="A115" t="s">
        <v>624</v>
      </c>
      <c r="B115" t="b">
        <v>0</v>
      </c>
    </row>
    <row r="116" spans="1:2" x14ac:dyDescent="0.2">
      <c r="A116" t="s">
        <v>625</v>
      </c>
      <c r="B116" t="b">
        <v>0</v>
      </c>
    </row>
    <row r="117" spans="1:2" x14ac:dyDescent="0.2">
      <c r="A117" t="s">
        <v>626</v>
      </c>
      <c r="B117">
        <v>0</v>
      </c>
    </row>
    <row r="118" spans="1:2" x14ac:dyDescent="0.2">
      <c r="A118" t="s">
        <v>627</v>
      </c>
      <c r="B118">
        <v>0</v>
      </c>
    </row>
    <row r="119" spans="1:2" x14ac:dyDescent="0.2">
      <c r="A119" t="s">
        <v>628</v>
      </c>
      <c r="B119" t="s">
        <v>867</v>
      </c>
    </row>
    <row r="120" spans="1:2" x14ac:dyDescent="0.2">
      <c r="A120" t="s">
        <v>629</v>
      </c>
      <c r="B120">
        <v>0</v>
      </c>
    </row>
    <row r="121" spans="1:2" x14ac:dyDescent="0.2">
      <c r="A121" t="s">
        <v>630</v>
      </c>
      <c r="B121">
        <v>0</v>
      </c>
    </row>
    <row r="122" spans="1:2" x14ac:dyDescent="0.2">
      <c r="A122" t="s">
        <v>631</v>
      </c>
      <c r="B122">
        <v>0</v>
      </c>
    </row>
    <row r="123" spans="1:2" x14ac:dyDescent="0.2">
      <c r="A123" t="s">
        <v>632</v>
      </c>
      <c r="B123">
        <v>0</v>
      </c>
    </row>
    <row r="124" spans="1:2" x14ac:dyDescent="0.2">
      <c r="A124" t="s">
        <v>633</v>
      </c>
      <c r="B124">
        <v>0</v>
      </c>
    </row>
    <row r="125" spans="1:2" x14ac:dyDescent="0.2">
      <c r="A125" t="s">
        <v>634</v>
      </c>
      <c r="B125" t="s">
        <v>867</v>
      </c>
    </row>
    <row r="126" spans="1:2" x14ac:dyDescent="0.2">
      <c r="A126" t="s">
        <v>635</v>
      </c>
      <c r="B126" t="s">
        <v>219</v>
      </c>
    </row>
    <row r="127" spans="1:2" x14ac:dyDescent="0.2">
      <c r="A127" t="s">
        <v>636</v>
      </c>
      <c r="B127" t="b">
        <v>0</v>
      </c>
    </row>
    <row r="128" spans="1:2" x14ac:dyDescent="0.2">
      <c r="A128" t="s">
        <v>637</v>
      </c>
      <c r="B128" t="s">
        <v>867</v>
      </c>
    </row>
    <row r="129" spans="1:2" x14ac:dyDescent="0.2">
      <c r="A129" t="s">
        <v>638</v>
      </c>
      <c r="B129">
        <v>0</v>
      </c>
    </row>
    <row r="130" spans="1:2" x14ac:dyDescent="0.2">
      <c r="A130" t="s">
        <v>639</v>
      </c>
      <c r="B130">
        <v>0</v>
      </c>
    </row>
    <row r="131" spans="1:2" x14ac:dyDescent="0.2">
      <c r="A131" t="s">
        <v>640</v>
      </c>
      <c r="B131" t="s">
        <v>867</v>
      </c>
    </row>
    <row r="132" spans="1:2" x14ac:dyDescent="0.2">
      <c r="A132" t="s">
        <v>641</v>
      </c>
      <c r="B132" t="s">
        <v>867</v>
      </c>
    </row>
    <row r="133" spans="1:2" x14ac:dyDescent="0.2">
      <c r="A133" t="s">
        <v>642</v>
      </c>
      <c r="B133" t="s">
        <v>867</v>
      </c>
    </row>
    <row r="134" spans="1:2" x14ac:dyDescent="0.2">
      <c r="A134" t="s">
        <v>643</v>
      </c>
      <c r="B134" t="s">
        <v>867</v>
      </c>
    </row>
    <row r="135" spans="1:2" x14ac:dyDescent="0.2">
      <c r="A135" t="s">
        <v>644</v>
      </c>
      <c r="B135" t="s">
        <v>867</v>
      </c>
    </row>
    <row r="136" spans="1:2" x14ac:dyDescent="0.2">
      <c r="A136" t="s">
        <v>645</v>
      </c>
      <c r="B136" t="s">
        <v>867</v>
      </c>
    </row>
    <row r="137" spans="1:2" x14ac:dyDescent="0.2">
      <c r="A137" t="s">
        <v>646</v>
      </c>
      <c r="B137" t="s">
        <v>867</v>
      </c>
    </row>
    <row r="138" spans="1:2" x14ac:dyDescent="0.2">
      <c r="A138" t="s">
        <v>647</v>
      </c>
      <c r="B138" t="b">
        <v>1</v>
      </c>
    </row>
    <row r="139" spans="1:2" x14ac:dyDescent="0.2">
      <c r="A139" t="s">
        <v>648</v>
      </c>
      <c r="B139" t="s">
        <v>867</v>
      </c>
    </row>
    <row r="140" spans="1:2" x14ac:dyDescent="0.2">
      <c r="A140" t="s">
        <v>649</v>
      </c>
      <c r="B140" t="s">
        <v>867</v>
      </c>
    </row>
    <row r="141" spans="1:2" x14ac:dyDescent="0.2">
      <c r="A141" t="s">
        <v>650</v>
      </c>
      <c r="B141" t="s">
        <v>867</v>
      </c>
    </row>
    <row r="142" spans="1:2" x14ac:dyDescent="0.2">
      <c r="A142" t="s">
        <v>651</v>
      </c>
      <c r="B142" t="s">
        <v>867</v>
      </c>
    </row>
    <row r="143" spans="1:2" x14ac:dyDescent="0.2">
      <c r="A143" t="s">
        <v>652</v>
      </c>
      <c r="B143" t="s">
        <v>867</v>
      </c>
    </row>
    <row r="144" spans="1:2" x14ac:dyDescent="0.2">
      <c r="A144" t="s">
        <v>653</v>
      </c>
      <c r="B144" t="s">
        <v>867</v>
      </c>
    </row>
    <row r="145" spans="1:2" x14ac:dyDescent="0.2">
      <c r="A145" t="s">
        <v>654</v>
      </c>
      <c r="B145" t="b">
        <v>0</v>
      </c>
    </row>
    <row r="146" spans="1:2" x14ac:dyDescent="0.2">
      <c r="A146" t="s">
        <v>655</v>
      </c>
      <c r="B146" t="b">
        <v>0</v>
      </c>
    </row>
    <row r="147" spans="1:2" x14ac:dyDescent="0.2">
      <c r="A147" t="s">
        <v>656</v>
      </c>
      <c r="B147" t="b">
        <v>0</v>
      </c>
    </row>
    <row r="148" spans="1:2" x14ac:dyDescent="0.2">
      <c r="A148" t="s">
        <v>657</v>
      </c>
      <c r="B148" t="s">
        <v>867</v>
      </c>
    </row>
    <row r="149" spans="1:2" x14ac:dyDescent="0.2">
      <c r="A149" t="s">
        <v>658</v>
      </c>
      <c r="B149" t="s">
        <v>867</v>
      </c>
    </row>
    <row r="150" spans="1:2" x14ac:dyDescent="0.2">
      <c r="A150" t="s">
        <v>659</v>
      </c>
      <c r="B150" t="s">
        <v>867</v>
      </c>
    </row>
    <row r="151" spans="1:2" x14ac:dyDescent="0.2">
      <c r="A151" t="s">
        <v>660</v>
      </c>
      <c r="B151" t="s">
        <v>867</v>
      </c>
    </row>
    <row r="152" spans="1:2" x14ac:dyDescent="0.2">
      <c r="A152" t="s">
        <v>661</v>
      </c>
      <c r="B152" t="s">
        <v>867</v>
      </c>
    </row>
    <row r="153" spans="1:2" x14ac:dyDescent="0.2">
      <c r="A153" t="s">
        <v>662</v>
      </c>
      <c r="B153" t="s">
        <v>867</v>
      </c>
    </row>
    <row r="154" spans="1:2" x14ac:dyDescent="0.2">
      <c r="A154" t="s">
        <v>663</v>
      </c>
      <c r="B154" t="s">
        <v>867</v>
      </c>
    </row>
    <row r="155" spans="1:2" x14ac:dyDescent="0.2">
      <c r="A155" t="s">
        <v>664</v>
      </c>
      <c r="B155" t="s">
        <v>867</v>
      </c>
    </row>
    <row r="156" spans="1:2" x14ac:dyDescent="0.2">
      <c r="A156" t="s">
        <v>665</v>
      </c>
      <c r="B156" t="s">
        <v>867</v>
      </c>
    </row>
    <row r="157" spans="1:2" x14ac:dyDescent="0.2">
      <c r="A157" t="s">
        <v>666</v>
      </c>
      <c r="B157" t="b">
        <v>0</v>
      </c>
    </row>
    <row r="158" spans="1:2" x14ac:dyDescent="0.2">
      <c r="A158" t="s">
        <v>667</v>
      </c>
      <c r="B158" t="b">
        <v>0</v>
      </c>
    </row>
    <row r="159" spans="1:2" x14ac:dyDescent="0.2">
      <c r="A159" t="s">
        <v>668</v>
      </c>
      <c r="B159" t="s">
        <v>867</v>
      </c>
    </row>
    <row r="160" spans="1:2" x14ac:dyDescent="0.2">
      <c r="A160" t="s">
        <v>669</v>
      </c>
      <c r="B160" t="s">
        <v>867</v>
      </c>
    </row>
    <row r="161" spans="1:2" x14ac:dyDescent="0.2">
      <c r="A161" t="s">
        <v>670</v>
      </c>
      <c r="B161" t="s">
        <v>867</v>
      </c>
    </row>
    <row r="162" spans="1:2" x14ac:dyDescent="0.2">
      <c r="A162" t="s">
        <v>671</v>
      </c>
      <c r="B162" t="s">
        <v>867</v>
      </c>
    </row>
    <row r="163" spans="1:2" x14ac:dyDescent="0.2">
      <c r="A163" t="s">
        <v>672</v>
      </c>
      <c r="B163" t="b">
        <v>0</v>
      </c>
    </row>
    <row r="164" spans="1:2" x14ac:dyDescent="0.2">
      <c r="A164" t="s">
        <v>673</v>
      </c>
      <c r="B164" t="b">
        <v>0</v>
      </c>
    </row>
    <row r="165" spans="1:2" x14ac:dyDescent="0.2">
      <c r="A165" t="s">
        <v>674</v>
      </c>
      <c r="B165" t="s">
        <v>867</v>
      </c>
    </row>
    <row r="166" spans="1:2" x14ac:dyDescent="0.2">
      <c r="A166" t="s">
        <v>675</v>
      </c>
      <c r="B166" t="s">
        <v>867</v>
      </c>
    </row>
    <row r="167" spans="1:2" x14ac:dyDescent="0.2">
      <c r="A167" t="s">
        <v>676</v>
      </c>
      <c r="B167" t="b">
        <v>0</v>
      </c>
    </row>
    <row r="168" spans="1:2" x14ac:dyDescent="0.2">
      <c r="A168" t="s">
        <v>677</v>
      </c>
      <c r="B168" t="s">
        <v>867</v>
      </c>
    </row>
    <row r="169" spans="1:2" x14ac:dyDescent="0.2">
      <c r="A169" t="s">
        <v>678</v>
      </c>
      <c r="B169" t="s">
        <v>867</v>
      </c>
    </row>
    <row r="170" spans="1:2" x14ac:dyDescent="0.2">
      <c r="A170" t="s">
        <v>679</v>
      </c>
      <c r="B170" t="b">
        <v>0</v>
      </c>
    </row>
    <row r="171" spans="1:2" x14ac:dyDescent="0.2">
      <c r="A171" t="s">
        <v>680</v>
      </c>
      <c r="B171" t="s">
        <v>867</v>
      </c>
    </row>
    <row r="172" spans="1:2" x14ac:dyDescent="0.2">
      <c r="A172" t="s">
        <v>681</v>
      </c>
      <c r="B172" t="s">
        <v>867</v>
      </c>
    </row>
    <row r="173" spans="1:2" x14ac:dyDescent="0.2">
      <c r="A173" t="s">
        <v>682</v>
      </c>
      <c r="B173" t="s">
        <v>867</v>
      </c>
    </row>
    <row r="174" spans="1:2" x14ac:dyDescent="0.2">
      <c r="A174" t="s">
        <v>683</v>
      </c>
      <c r="B174" t="b">
        <v>0</v>
      </c>
    </row>
    <row r="175" spans="1:2" x14ac:dyDescent="0.2">
      <c r="A175" t="s">
        <v>684</v>
      </c>
      <c r="B175" t="b">
        <v>0</v>
      </c>
    </row>
    <row r="176" spans="1:2" x14ac:dyDescent="0.2">
      <c r="A176" t="s">
        <v>685</v>
      </c>
      <c r="B176" t="s">
        <v>867</v>
      </c>
    </row>
    <row r="177" spans="1:2" x14ac:dyDescent="0.2">
      <c r="A177" t="s">
        <v>686</v>
      </c>
      <c r="B177" t="s">
        <v>867</v>
      </c>
    </row>
    <row r="178" spans="1:2" x14ac:dyDescent="0.2">
      <c r="A178" t="s">
        <v>687</v>
      </c>
      <c r="B178" t="b">
        <v>0</v>
      </c>
    </row>
    <row r="179" spans="1:2" x14ac:dyDescent="0.2">
      <c r="A179" t="s">
        <v>688</v>
      </c>
      <c r="B179">
        <v>1</v>
      </c>
    </row>
    <row r="180" spans="1:2" x14ac:dyDescent="0.2">
      <c r="A180" t="s">
        <v>689</v>
      </c>
      <c r="B180">
        <v>1</v>
      </c>
    </row>
    <row r="181" spans="1:2" x14ac:dyDescent="0.2">
      <c r="A181" t="s">
        <v>690</v>
      </c>
      <c r="B181" t="s">
        <v>867</v>
      </c>
    </row>
    <row r="182" spans="1:2" x14ac:dyDescent="0.2">
      <c r="A182" t="s">
        <v>691</v>
      </c>
      <c r="B182" t="s">
        <v>867</v>
      </c>
    </row>
    <row r="183" spans="1:2" x14ac:dyDescent="0.2">
      <c r="A183" t="s">
        <v>692</v>
      </c>
      <c r="B183" t="s">
        <v>867</v>
      </c>
    </row>
    <row r="184" spans="1:2" x14ac:dyDescent="0.2">
      <c r="A184" t="s">
        <v>693</v>
      </c>
      <c r="B184">
        <v>1</v>
      </c>
    </row>
    <row r="185" spans="1:2" x14ac:dyDescent="0.2">
      <c r="A185" t="s">
        <v>694</v>
      </c>
      <c r="B185" t="s">
        <v>867</v>
      </c>
    </row>
    <row r="186" spans="1:2" x14ac:dyDescent="0.2">
      <c r="A186" t="s">
        <v>695</v>
      </c>
      <c r="B186" t="s">
        <v>867</v>
      </c>
    </row>
    <row r="187" spans="1:2" x14ac:dyDescent="0.2">
      <c r="A187" t="s">
        <v>696</v>
      </c>
      <c r="B187" t="s">
        <v>867</v>
      </c>
    </row>
    <row r="188" spans="1:2" x14ac:dyDescent="0.2">
      <c r="A188" t="s">
        <v>697</v>
      </c>
      <c r="B188">
        <v>0</v>
      </c>
    </row>
    <row r="189" spans="1:2" x14ac:dyDescent="0.2">
      <c r="A189" t="s">
        <v>698</v>
      </c>
      <c r="B189" t="s">
        <v>867</v>
      </c>
    </row>
    <row r="190" spans="1:2" x14ac:dyDescent="0.2">
      <c r="A190" t="s">
        <v>699</v>
      </c>
      <c r="B190" t="s">
        <v>867</v>
      </c>
    </row>
    <row r="191" spans="1:2" x14ac:dyDescent="0.2">
      <c r="A191" t="s">
        <v>700</v>
      </c>
      <c r="B191">
        <v>0</v>
      </c>
    </row>
    <row r="192" spans="1:2" x14ac:dyDescent="0.2">
      <c r="A192" t="s">
        <v>701</v>
      </c>
      <c r="B192" t="s">
        <v>867</v>
      </c>
    </row>
    <row r="193" spans="1:2" x14ac:dyDescent="0.2">
      <c r="A193" t="s">
        <v>702</v>
      </c>
      <c r="B193" t="s">
        <v>867</v>
      </c>
    </row>
    <row r="194" spans="1:2" x14ac:dyDescent="0.2">
      <c r="A194" t="s">
        <v>703</v>
      </c>
      <c r="B194" t="s">
        <v>867</v>
      </c>
    </row>
    <row r="195" spans="1:2" x14ac:dyDescent="0.2">
      <c r="A195" t="s">
        <v>704</v>
      </c>
      <c r="B195" t="s">
        <v>867</v>
      </c>
    </row>
    <row r="196" spans="1:2" x14ac:dyDescent="0.2">
      <c r="A196" t="s">
        <v>705</v>
      </c>
      <c r="B196" t="s">
        <v>867</v>
      </c>
    </row>
    <row r="197" spans="1:2" x14ac:dyDescent="0.2">
      <c r="A197" t="s">
        <v>706</v>
      </c>
      <c r="B197">
        <v>1</v>
      </c>
    </row>
    <row r="198" spans="1:2" x14ac:dyDescent="0.2">
      <c r="A198" t="s">
        <v>707</v>
      </c>
      <c r="B198" t="s">
        <v>867</v>
      </c>
    </row>
    <row r="199" spans="1:2" x14ac:dyDescent="0.2">
      <c r="A199" t="s">
        <v>708</v>
      </c>
      <c r="B199" t="s">
        <v>867</v>
      </c>
    </row>
    <row r="200" spans="1:2" x14ac:dyDescent="0.2">
      <c r="A200" t="s">
        <v>709</v>
      </c>
      <c r="B200" t="s">
        <v>867</v>
      </c>
    </row>
    <row r="201" spans="1:2" x14ac:dyDescent="0.2">
      <c r="A201" t="s">
        <v>710</v>
      </c>
      <c r="B201" t="s">
        <v>867</v>
      </c>
    </row>
    <row r="202" spans="1:2" x14ac:dyDescent="0.2">
      <c r="A202" t="s">
        <v>711</v>
      </c>
      <c r="B202" t="s">
        <v>867</v>
      </c>
    </row>
    <row r="203" spans="1:2" x14ac:dyDescent="0.2">
      <c r="A203" t="s">
        <v>712</v>
      </c>
      <c r="B203" t="s">
        <v>867</v>
      </c>
    </row>
    <row r="204" spans="1:2" x14ac:dyDescent="0.2">
      <c r="A204" t="s">
        <v>713</v>
      </c>
      <c r="B204" t="s">
        <v>867</v>
      </c>
    </row>
    <row r="205" spans="1:2" x14ac:dyDescent="0.2">
      <c r="A205" t="s">
        <v>714</v>
      </c>
      <c r="B205" t="s">
        <v>867</v>
      </c>
    </row>
    <row r="206" spans="1:2" x14ac:dyDescent="0.2">
      <c r="A206" t="s">
        <v>715</v>
      </c>
      <c r="B206" t="s">
        <v>867</v>
      </c>
    </row>
    <row r="207" spans="1:2" x14ac:dyDescent="0.2">
      <c r="A207" t="s">
        <v>716</v>
      </c>
      <c r="B207" t="s">
        <v>867</v>
      </c>
    </row>
    <row r="208" spans="1:2" x14ac:dyDescent="0.2">
      <c r="A208" t="s">
        <v>717</v>
      </c>
      <c r="B208" t="s">
        <v>867</v>
      </c>
    </row>
    <row r="209" spans="1:2" x14ac:dyDescent="0.2">
      <c r="A209" t="s">
        <v>718</v>
      </c>
      <c r="B209" t="s">
        <v>867</v>
      </c>
    </row>
    <row r="210" spans="1:2" x14ac:dyDescent="0.2">
      <c r="A210" t="s">
        <v>719</v>
      </c>
      <c r="B210" t="s">
        <v>867</v>
      </c>
    </row>
    <row r="211" spans="1:2" x14ac:dyDescent="0.2">
      <c r="A211" t="s">
        <v>720</v>
      </c>
      <c r="B211" t="s">
        <v>867</v>
      </c>
    </row>
    <row r="212" spans="1:2" x14ac:dyDescent="0.2">
      <c r="A212" t="s">
        <v>721</v>
      </c>
      <c r="B212" t="s">
        <v>867</v>
      </c>
    </row>
    <row r="213" spans="1:2" x14ac:dyDescent="0.2">
      <c r="A213" t="s">
        <v>722</v>
      </c>
      <c r="B213" t="s">
        <v>867</v>
      </c>
    </row>
    <row r="214" spans="1:2" x14ac:dyDescent="0.2">
      <c r="A214" t="s">
        <v>723</v>
      </c>
      <c r="B214" t="s">
        <v>867</v>
      </c>
    </row>
    <row r="215" spans="1:2" x14ac:dyDescent="0.2">
      <c r="A215" t="s">
        <v>724</v>
      </c>
      <c r="B215" t="s">
        <v>867</v>
      </c>
    </row>
    <row r="216" spans="1:2" x14ac:dyDescent="0.2">
      <c r="A216" t="s">
        <v>725</v>
      </c>
      <c r="B216" t="s">
        <v>867</v>
      </c>
    </row>
    <row r="217" spans="1:2" x14ac:dyDescent="0.2">
      <c r="A217" t="s">
        <v>726</v>
      </c>
      <c r="B217" t="s">
        <v>867</v>
      </c>
    </row>
    <row r="218" spans="1:2" x14ac:dyDescent="0.2">
      <c r="A218" t="s">
        <v>727</v>
      </c>
      <c r="B218" t="s">
        <v>867</v>
      </c>
    </row>
    <row r="219" spans="1:2" x14ac:dyDescent="0.2">
      <c r="A219" t="s">
        <v>728</v>
      </c>
      <c r="B219" t="s">
        <v>867</v>
      </c>
    </row>
    <row r="220" spans="1:2" x14ac:dyDescent="0.2">
      <c r="A220" t="s">
        <v>729</v>
      </c>
      <c r="B220" t="s">
        <v>867</v>
      </c>
    </row>
    <row r="221" spans="1:2" x14ac:dyDescent="0.2">
      <c r="A221" t="s">
        <v>730</v>
      </c>
      <c r="B221" t="s">
        <v>867</v>
      </c>
    </row>
    <row r="222" spans="1:2" x14ac:dyDescent="0.2">
      <c r="A222" t="s">
        <v>731</v>
      </c>
      <c r="B222" t="s">
        <v>867</v>
      </c>
    </row>
    <row r="223" spans="1:2" x14ac:dyDescent="0.2">
      <c r="A223" t="s">
        <v>732</v>
      </c>
      <c r="B223" t="s">
        <v>867</v>
      </c>
    </row>
    <row r="224" spans="1:2" x14ac:dyDescent="0.2">
      <c r="A224" t="s">
        <v>733</v>
      </c>
      <c r="B224" t="s">
        <v>867</v>
      </c>
    </row>
    <row r="225" spans="1:2" x14ac:dyDescent="0.2">
      <c r="A225" t="s">
        <v>734</v>
      </c>
      <c r="B225" t="s">
        <v>867</v>
      </c>
    </row>
    <row r="226" spans="1:2" x14ac:dyDescent="0.2">
      <c r="A226" t="s">
        <v>735</v>
      </c>
      <c r="B226" t="s">
        <v>867</v>
      </c>
    </row>
    <row r="227" spans="1:2" x14ac:dyDescent="0.2">
      <c r="A227" t="s">
        <v>736</v>
      </c>
      <c r="B227" t="s">
        <v>867</v>
      </c>
    </row>
    <row r="228" spans="1:2" x14ac:dyDescent="0.2">
      <c r="A228" t="s">
        <v>737</v>
      </c>
      <c r="B228" t="s">
        <v>867</v>
      </c>
    </row>
    <row r="229" spans="1:2" x14ac:dyDescent="0.2">
      <c r="A229" t="s">
        <v>738</v>
      </c>
      <c r="B229" t="s">
        <v>867</v>
      </c>
    </row>
    <row r="230" spans="1:2" x14ac:dyDescent="0.2">
      <c r="A230" t="s">
        <v>739</v>
      </c>
      <c r="B230" t="s">
        <v>867</v>
      </c>
    </row>
    <row r="231" spans="1:2" x14ac:dyDescent="0.2">
      <c r="A231" t="s">
        <v>740</v>
      </c>
      <c r="B231" t="s">
        <v>867</v>
      </c>
    </row>
    <row r="232" spans="1:2" x14ac:dyDescent="0.2">
      <c r="A232" t="s">
        <v>741</v>
      </c>
      <c r="B232" t="s">
        <v>867</v>
      </c>
    </row>
    <row r="233" spans="1:2" x14ac:dyDescent="0.2">
      <c r="A233" t="s">
        <v>742</v>
      </c>
      <c r="B233">
        <v>0</v>
      </c>
    </row>
    <row r="234" spans="1:2" x14ac:dyDescent="0.2">
      <c r="A234" t="s">
        <v>743</v>
      </c>
      <c r="B234">
        <v>0</v>
      </c>
    </row>
    <row r="235" spans="1:2" x14ac:dyDescent="0.2">
      <c r="A235" t="s">
        <v>744</v>
      </c>
      <c r="B235" t="s">
        <v>867</v>
      </c>
    </row>
    <row r="236" spans="1:2" x14ac:dyDescent="0.2">
      <c r="A236" t="s">
        <v>745</v>
      </c>
      <c r="B236" t="s">
        <v>867</v>
      </c>
    </row>
    <row r="237" spans="1:2" x14ac:dyDescent="0.2">
      <c r="A237" t="s">
        <v>746</v>
      </c>
      <c r="B237" t="s">
        <v>867</v>
      </c>
    </row>
    <row r="238" spans="1:2" x14ac:dyDescent="0.2">
      <c r="A238" t="s">
        <v>747</v>
      </c>
      <c r="B238" t="s">
        <v>867</v>
      </c>
    </row>
    <row r="239" spans="1:2" x14ac:dyDescent="0.2">
      <c r="A239" t="s">
        <v>748</v>
      </c>
      <c r="B239" t="s">
        <v>867</v>
      </c>
    </row>
    <row r="240" spans="1:2" x14ac:dyDescent="0.2">
      <c r="A240" t="s">
        <v>749</v>
      </c>
      <c r="B240" t="s">
        <v>867</v>
      </c>
    </row>
    <row r="241" spans="1:2" x14ac:dyDescent="0.2">
      <c r="A241" t="s">
        <v>750</v>
      </c>
      <c r="B241" t="s">
        <v>867</v>
      </c>
    </row>
    <row r="242" spans="1:2" x14ac:dyDescent="0.2">
      <c r="A242" t="s">
        <v>751</v>
      </c>
      <c r="B242" t="s">
        <v>867</v>
      </c>
    </row>
    <row r="243" spans="1:2" x14ac:dyDescent="0.2">
      <c r="A243" t="s">
        <v>752</v>
      </c>
      <c r="B243" t="s">
        <v>867</v>
      </c>
    </row>
    <row r="244" spans="1:2" x14ac:dyDescent="0.2">
      <c r="A244" t="s">
        <v>753</v>
      </c>
      <c r="B244" t="s">
        <v>867</v>
      </c>
    </row>
    <row r="245" spans="1:2" x14ac:dyDescent="0.2">
      <c r="A245" t="s">
        <v>754</v>
      </c>
      <c r="B245" t="s">
        <v>867</v>
      </c>
    </row>
    <row r="246" spans="1:2" x14ac:dyDescent="0.2">
      <c r="A246" t="s">
        <v>755</v>
      </c>
      <c r="B246" t="s">
        <v>867</v>
      </c>
    </row>
    <row r="247" spans="1:2" x14ac:dyDescent="0.2">
      <c r="A247" t="s">
        <v>756</v>
      </c>
      <c r="B247" t="s">
        <v>867</v>
      </c>
    </row>
    <row r="248" spans="1:2" x14ac:dyDescent="0.2">
      <c r="A248" t="s">
        <v>757</v>
      </c>
      <c r="B248" t="s">
        <v>867</v>
      </c>
    </row>
    <row r="249" spans="1:2" x14ac:dyDescent="0.2">
      <c r="A249" t="s">
        <v>758</v>
      </c>
      <c r="B249" t="s">
        <v>867</v>
      </c>
    </row>
    <row r="250" spans="1:2" x14ac:dyDescent="0.2">
      <c r="A250" t="s">
        <v>759</v>
      </c>
      <c r="B250" t="s">
        <v>867</v>
      </c>
    </row>
    <row r="251" spans="1:2" x14ac:dyDescent="0.2">
      <c r="A251" t="s">
        <v>760</v>
      </c>
      <c r="B251" t="s">
        <v>867</v>
      </c>
    </row>
    <row r="252" spans="1:2" x14ac:dyDescent="0.2">
      <c r="A252" t="s">
        <v>761</v>
      </c>
      <c r="B252" t="s">
        <v>867</v>
      </c>
    </row>
    <row r="253" spans="1:2" x14ac:dyDescent="0.2">
      <c r="A253" t="s">
        <v>762</v>
      </c>
      <c r="B253" t="s">
        <v>867</v>
      </c>
    </row>
    <row r="254" spans="1:2" x14ac:dyDescent="0.2">
      <c r="A254" t="s">
        <v>763</v>
      </c>
      <c r="B254" t="s">
        <v>867</v>
      </c>
    </row>
    <row r="255" spans="1:2" x14ac:dyDescent="0.2">
      <c r="A255" t="s">
        <v>764</v>
      </c>
      <c r="B255" t="s">
        <v>867</v>
      </c>
    </row>
    <row r="256" spans="1:2" x14ac:dyDescent="0.2">
      <c r="A256" t="s">
        <v>765</v>
      </c>
      <c r="B256" t="s">
        <v>867</v>
      </c>
    </row>
    <row r="257" spans="1:2" x14ac:dyDescent="0.2">
      <c r="A257" t="s">
        <v>766</v>
      </c>
      <c r="B257" t="s">
        <v>867</v>
      </c>
    </row>
    <row r="258" spans="1:2" x14ac:dyDescent="0.2">
      <c r="A258" t="s">
        <v>767</v>
      </c>
      <c r="B258" t="s">
        <v>867</v>
      </c>
    </row>
    <row r="259" spans="1:2" x14ac:dyDescent="0.2">
      <c r="A259" t="s">
        <v>768</v>
      </c>
      <c r="B259" t="s">
        <v>867</v>
      </c>
    </row>
    <row r="260" spans="1:2" x14ac:dyDescent="0.2">
      <c r="A260" t="s">
        <v>769</v>
      </c>
      <c r="B260" t="s">
        <v>867</v>
      </c>
    </row>
    <row r="261" spans="1:2" x14ac:dyDescent="0.2">
      <c r="A261" t="s">
        <v>770</v>
      </c>
      <c r="B261" t="s">
        <v>867</v>
      </c>
    </row>
    <row r="262" spans="1:2" x14ac:dyDescent="0.2">
      <c r="A262" t="s">
        <v>771</v>
      </c>
      <c r="B262" t="s">
        <v>867</v>
      </c>
    </row>
    <row r="263" spans="1:2" x14ac:dyDescent="0.2">
      <c r="A263" t="s">
        <v>772</v>
      </c>
      <c r="B263">
        <v>0</v>
      </c>
    </row>
    <row r="264" spans="1:2" x14ac:dyDescent="0.2">
      <c r="A264" t="s">
        <v>773</v>
      </c>
      <c r="B264" t="s">
        <v>867</v>
      </c>
    </row>
    <row r="265" spans="1:2" x14ac:dyDescent="0.2">
      <c r="A265" t="s">
        <v>774</v>
      </c>
      <c r="B265">
        <v>1</v>
      </c>
    </row>
    <row r="266" spans="1:2" x14ac:dyDescent="0.2">
      <c r="A266" t="s">
        <v>775</v>
      </c>
      <c r="B266" t="s">
        <v>867</v>
      </c>
    </row>
    <row r="267" spans="1:2" x14ac:dyDescent="0.2">
      <c r="A267" t="s">
        <v>776</v>
      </c>
      <c r="B267" t="s">
        <v>867</v>
      </c>
    </row>
    <row r="268" spans="1:2" x14ac:dyDescent="0.2">
      <c r="A268" t="s">
        <v>777</v>
      </c>
      <c r="B268" t="s">
        <v>867</v>
      </c>
    </row>
    <row r="269" spans="1:2" x14ac:dyDescent="0.2">
      <c r="A269" t="s">
        <v>778</v>
      </c>
      <c r="B269" t="s">
        <v>403</v>
      </c>
    </row>
    <row r="270" spans="1:2" x14ac:dyDescent="0.2">
      <c r="A270" t="s">
        <v>779</v>
      </c>
      <c r="B270" t="s">
        <v>867</v>
      </c>
    </row>
    <row r="271" spans="1:2" x14ac:dyDescent="0.2">
      <c r="A271" t="s">
        <v>780</v>
      </c>
      <c r="B271" t="s">
        <v>867</v>
      </c>
    </row>
    <row r="272" spans="1:2" x14ac:dyDescent="0.2">
      <c r="A272" t="s">
        <v>781</v>
      </c>
      <c r="B272" t="s">
        <v>867</v>
      </c>
    </row>
    <row r="273" spans="1:2" x14ac:dyDescent="0.2">
      <c r="A273" t="s">
        <v>782</v>
      </c>
      <c r="B273" t="s">
        <v>867</v>
      </c>
    </row>
    <row r="274" spans="1:2" x14ac:dyDescent="0.2">
      <c r="A274" t="s">
        <v>783</v>
      </c>
      <c r="B274" t="s">
        <v>867</v>
      </c>
    </row>
    <row r="275" spans="1:2" x14ac:dyDescent="0.2">
      <c r="A275" t="s">
        <v>784</v>
      </c>
      <c r="B275" t="s">
        <v>867</v>
      </c>
    </row>
    <row r="276" spans="1:2" x14ac:dyDescent="0.2">
      <c r="A276" t="s">
        <v>785</v>
      </c>
      <c r="B276" t="s">
        <v>867</v>
      </c>
    </row>
    <row r="277" spans="1:2" x14ac:dyDescent="0.2">
      <c r="A277" t="s">
        <v>786</v>
      </c>
      <c r="B277" t="s">
        <v>867</v>
      </c>
    </row>
    <row r="278" spans="1:2" x14ac:dyDescent="0.2">
      <c r="A278" t="s">
        <v>787</v>
      </c>
      <c r="B278" t="s">
        <v>867</v>
      </c>
    </row>
    <row r="279" spans="1:2" x14ac:dyDescent="0.2">
      <c r="A279" t="s">
        <v>788</v>
      </c>
      <c r="B279" t="s">
        <v>867</v>
      </c>
    </row>
    <row r="280" spans="1:2" x14ac:dyDescent="0.2">
      <c r="A280" t="s">
        <v>789</v>
      </c>
      <c r="B280" t="s">
        <v>867</v>
      </c>
    </row>
    <row r="281" spans="1:2" x14ac:dyDescent="0.2">
      <c r="A281" t="s">
        <v>790</v>
      </c>
      <c r="B281" t="s">
        <v>867</v>
      </c>
    </row>
    <row r="282" spans="1:2" x14ac:dyDescent="0.2">
      <c r="A282" t="s">
        <v>791</v>
      </c>
      <c r="B282" t="s">
        <v>867</v>
      </c>
    </row>
    <row r="283" spans="1:2" x14ac:dyDescent="0.2">
      <c r="A283" t="s">
        <v>792</v>
      </c>
      <c r="B283" t="s">
        <v>422</v>
      </c>
    </row>
    <row r="284" spans="1:2" x14ac:dyDescent="0.2">
      <c r="A284" t="s">
        <v>793</v>
      </c>
      <c r="B284" t="s">
        <v>19</v>
      </c>
    </row>
    <row r="285" spans="1:2" x14ac:dyDescent="0.2">
      <c r="A285" t="s">
        <v>794</v>
      </c>
      <c r="B285" t="s">
        <v>867</v>
      </c>
    </row>
    <row r="286" spans="1:2" x14ac:dyDescent="0.2">
      <c r="A286" t="s">
        <v>795</v>
      </c>
      <c r="B286" t="s">
        <v>867</v>
      </c>
    </row>
    <row r="287" spans="1:2" x14ac:dyDescent="0.2">
      <c r="A287" t="s">
        <v>796</v>
      </c>
      <c r="B287" t="s">
        <v>867</v>
      </c>
    </row>
    <row r="288" spans="1:2" x14ac:dyDescent="0.2">
      <c r="A288" t="s">
        <v>797</v>
      </c>
      <c r="B288" t="s">
        <v>867</v>
      </c>
    </row>
    <row r="289" spans="1:2" x14ac:dyDescent="0.2">
      <c r="A289" t="s">
        <v>798</v>
      </c>
      <c r="B289" t="s">
        <v>867</v>
      </c>
    </row>
    <row r="290" spans="1:2" x14ac:dyDescent="0.2">
      <c r="A290" t="s">
        <v>799</v>
      </c>
      <c r="B290" t="s">
        <v>867</v>
      </c>
    </row>
    <row r="291" spans="1:2" x14ac:dyDescent="0.2">
      <c r="A291" t="s">
        <v>800</v>
      </c>
      <c r="B291" t="s">
        <v>867</v>
      </c>
    </row>
    <row r="292" spans="1:2" x14ac:dyDescent="0.2">
      <c r="A292" t="s">
        <v>801</v>
      </c>
      <c r="B292" t="s">
        <v>867</v>
      </c>
    </row>
    <row r="293" spans="1:2" x14ac:dyDescent="0.2">
      <c r="A293" t="s">
        <v>802</v>
      </c>
      <c r="B293" t="s">
        <v>867</v>
      </c>
    </row>
    <row r="294" spans="1:2" x14ac:dyDescent="0.2">
      <c r="A294" t="s">
        <v>803</v>
      </c>
      <c r="B294" t="s">
        <v>867</v>
      </c>
    </row>
    <row r="295" spans="1:2" x14ac:dyDescent="0.2">
      <c r="A295" t="s">
        <v>804</v>
      </c>
      <c r="B295" t="s">
        <v>867</v>
      </c>
    </row>
    <row r="296" spans="1:2" x14ac:dyDescent="0.2">
      <c r="A296" t="s">
        <v>805</v>
      </c>
      <c r="B296" t="s">
        <v>867</v>
      </c>
    </row>
    <row r="297" spans="1:2" x14ac:dyDescent="0.2">
      <c r="A297" t="s">
        <v>806</v>
      </c>
      <c r="B297" t="s">
        <v>867</v>
      </c>
    </row>
    <row r="298" spans="1:2" x14ac:dyDescent="0.2">
      <c r="A298" t="s">
        <v>807</v>
      </c>
      <c r="B298" t="s">
        <v>867</v>
      </c>
    </row>
    <row r="299" spans="1:2" x14ac:dyDescent="0.2">
      <c r="A299" t="s">
        <v>808</v>
      </c>
      <c r="B299" t="s">
        <v>867</v>
      </c>
    </row>
    <row r="300" spans="1:2" x14ac:dyDescent="0.2">
      <c r="A300" t="s">
        <v>809</v>
      </c>
      <c r="B300">
        <v>0</v>
      </c>
    </row>
    <row r="301" spans="1:2" x14ac:dyDescent="0.2">
      <c r="A301" t="s">
        <v>810</v>
      </c>
      <c r="B301" t="b">
        <v>0</v>
      </c>
    </row>
    <row r="302" spans="1:2" x14ac:dyDescent="0.2">
      <c r="A302" t="s">
        <v>811</v>
      </c>
      <c r="B302" t="s">
        <v>867</v>
      </c>
    </row>
    <row r="303" spans="1:2" x14ac:dyDescent="0.2">
      <c r="A303" t="s">
        <v>812</v>
      </c>
      <c r="B303" t="s">
        <v>867</v>
      </c>
    </row>
    <row r="304" spans="1:2" x14ac:dyDescent="0.2">
      <c r="A304" t="s">
        <v>813</v>
      </c>
      <c r="B304" t="s">
        <v>867</v>
      </c>
    </row>
    <row r="305" spans="1:2" x14ac:dyDescent="0.2">
      <c r="A305" t="s">
        <v>814</v>
      </c>
      <c r="B305" t="s">
        <v>867</v>
      </c>
    </row>
    <row r="306" spans="1:2" x14ac:dyDescent="0.2">
      <c r="A306" t="s">
        <v>815</v>
      </c>
      <c r="B306" t="s">
        <v>867</v>
      </c>
    </row>
    <row r="307" spans="1:2" x14ac:dyDescent="0.2">
      <c r="A307" t="s">
        <v>816</v>
      </c>
      <c r="B307" t="b">
        <v>0</v>
      </c>
    </row>
    <row r="308" spans="1:2" x14ac:dyDescent="0.2">
      <c r="A308" t="s">
        <v>817</v>
      </c>
      <c r="B308" t="s">
        <v>867</v>
      </c>
    </row>
    <row r="309" spans="1:2" x14ac:dyDescent="0.2">
      <c r="A309" t="s">
        <v>818</v>
      </c>
      <c r="B309" t="s">
        <v>867</v>
      </c>
    </row>
    <row r="310" spans="1:2" x14ac:dyDescent="0.2">
      <c r="A310" t="s">
        <v>819</v>
      </c>
      <c r="B310" t="s">
        <v>867</v>
      </c>
    </row>
    <row r="311" spans="1:2" x14ac:dyDescent="0.2">
      <c r="A311" t="s">
        <v>820</v>
      </c>
      <c r="B311" t="s">
        <v>867</v>
      </c>
    </row>
    <row r="312" spans="1:2" x14ac:dyDescent="0.2">
      <c r="A312" t="s">
        <v>821</v>
      </c>
      <c r="B312" t="s">
        <v>123</v>
      </c>
    </row>
    <row r="313" spans="1:2" x14ac:dyDescent="0.2">
      <c r="A313" t="s">
        <v>822</v>
      </c>
      <c r="B313" t="b">
        <v>0</v>
      </c>
    </row>
    <row r="314" spans="1:2" x14ac:dyDescent="0.2">
      <c r="A314" t="s">
        <v>823</v>
      </c>
      <c r="B314" t="b">
        <v>0</v>
      </c>
    </row>
    <row r="315" spans="1:2" x14ac:dyDescent="0.2">
      <c r="A315" t="s">
        <v>824</v>
      </c>
      <c r="B315" t="s">
        <v>867</v>
      </c>
    </row>
    <row r="316" spans="1:2" x14ac:dyDescent="0.2">
      <c r="A316" t="s">
        <v>825</v>
      </c>
      <c r="B316" t="s">
        <v>867</v>
      </c>
    </row>
    <row r="317" spans="1:2" x14ac:dyDescent="0.2">
      <c r="A317" t="s">
        <v>826</v>
      </c>
      <c r="B317" t="s">
        <v>867</v>
      </c>
    </row>
    <row r="318" spans="1:2" x14ac:dyDescent="0.2">
      <c r="A318" t="s">
        <v>827</v>
      </c>
      <c r="B318" t="s">
        <v>867</v>
      </c>
    </row>
    <row r="319" spans="1:2" x14ac:dyDescent="0.2">
      <c r="A319" t="s">
        <v>828</v>
      </c>
      <c r="B319" t="s">
        <v>867</v>
      </c>
    </row>
    <row r="320" spans="1:2" x14ac:dyDescent="0.2">
      <c r="A320" t="s">
        <v>829</v>
      </c>
      <c r="B320" t="s">
        <v>867</v>
      </c>
    </row>
    <row r="321" spans="1:2" x14ac:dyDescent="0.2">
      <c r="A321" t="s">
        <v>830</v>
      </c>
      <c r="B321" t="s">
        <v>867</v>
      </c>
    </row>
    <row r="322" spans="1:2" x14ac:dyDescent="0.2">
      <c r="A322" t="s">
        <v>831</v>
      </c>
      <c r="B322" t="s">
        <v>867</v>
      </c>
    </row>
    <row r="323" spans="1:2" x14ac:dyDescent="0.2">
      <c r="A323" t="s">
        <v>832</v>
      </c>
      <c r="B323" t="s">
        <v>867</v>
      </c>
    </row>
    <row r="324" spans="1:2" x14ac:dyDescent="0.2">
      <c r="A324" t="s">
        <v>833</v>
      </c>
      <c r="B324" t="s">
        <v>867</v>
      </c>
    </row>
    <row r="325" spans="1:2" x14ac:dyDescent="0.2">
      <c r="A325" t="s">
        <v>834</v>
      </c>
      <c r="B325" t="s">
        <v>867</v>
      </c>
    </row>
    <row r="326" spans="1:2" x14ac:dyDescent="0.2">
      <c r="A326" t="s">
        <v>835</v>
      </c>
      <c r="B326" t="s">
        <v>867</v>
      </c>
    </row>
    <row r="327" spans="1:2" x14ac:dyDescent="0.2">
      <c r="A327" t="s">
        <v>836</v>
      </c>
      <c r="B327" t="s">
        <v>867</v>
      </c>
    </row>
    <row r="328" spans="1:2" x14ac:dyDescent="0.2">
      <c r="A328" t="s">
        <v>837</v>
      </c>
      <c r="B328" t="s">
        <v>867</v>
      </c>
    </row>
    <row r="329" spans="1:2" x14ac:dyDescent="0.2">
      <c r="A329" t="s">
        <v>838</v>
      </c>
      <c r="B329" t="s">
        <v>867</v>
      </c>
    </row>
    <row r="330" spans="1:2" x14ac:dyDescent="0.2">
      <c r="A330" t="s">
        <v>839</v>
      </c>
      <c r="B330" t="s">
        <v>867</v>
      </c>
    </row>
    <row r="331" spans="1:2" x14ac:dyDescent="0.2">
      <c r="A331" t="s">
        <v>840</v>
      </c>
      <c r="B331" t="s">
        <v>867</v>
      </c>
    </row>
    <row r="332" spans="1:2" x14ac:dyDescent="0.2">
      <c r="A332" t="s">
        <v>841</v>
      </c>
      <c r="B332" t="s">
        <v>867</v>
      </c>
    </row>
    <row r="333" spans="1:2" x14ac:dyDescent="0.2">
      <c r="A333" t="s">
        <v>842</v>
      </c>
      <c r="B333" t="s">
        <v>867</v>
      </c>
    </row>
    <row r="334" spans="1:2" x14ac:dyDescent="0.2">
      <c r="A334" t="s">
        <v>843</v>
      </c>
      <c r="B334" t="s">
        <v>867</v>
      </c>
    </row>
    <row r="335" spans="1:2" x14ac:dyDescent="0.2">
      <c r="A335" t="s">
        <v>844</v>
      </c>
      <c r="B335" t="b">
        <v>0</v>
      </c>
    </row>
    <row r="336" spans="1:2" x14ac:dyDescent="0.2">
      <c r="A336" t="s">
        <v>845</v>
      </c>
      <c r="B336" t="s">
        <v>867</v>
      </c>
    </row>
    <row r="337" spans="1:2" x14ac:dyDescent="0.2">
      <c r="A337" t="s">
        <v>846</v>
      </c>
      <c r="B337" t="s">
        <v>867</v>
      </c>
    </row>
    <row r="338" spans="1:2" x14ac:dyDescent="0.2">
      <c r="A338" t="s">
        <v>847</v>
      </c>
      <c r="B338" t="s">
        <v>867</v>
      </c>
    </row>
    <row r="339" spans="1:2" x14ac:dyDescent="0.2">
      <c r="A339" t="s">
        <v>848</v>
      </c>
      <c r="B339" t="s">
        <v>867</v>
      </c>
    </row>
    <row r="340" spans="1:2" x14ac:dyDescent="0.2">
      <c r="A340" t="s">
        <v>849</v>
      </c>
      <c r="B340" t="s">
        <v>867</v>
      </c>
    </row>
    <row r="341" spans="1:2" x14ac:dyDescent="0.2">
      <c r="A341" t="s">
        <v>850</v>
      </c>
      <c r="B341" t="s">
        <v>867</v>
      </c>
    </row>
    <row r="342" spans="1:2" x14ac:dyDescent="0.2">
      <c r="A342" t="s">
        <v>851</v>
      </c>
      <c r="B342" t="s">
        <v>867</v>
      </c>
    </row>
    <row r="343" spans="1:2" x14ac:dyDescent="0.2">
      <c r="A343" t="s">
        <v>852</v>
      </c>
      <c r="B343" t="s">
        <v>867</v>
      </c>
    </row>
    <row r="344" spans="1:2" x14ac:dyDescent="0.2">
      <c r="A344" t="s">
        <v>853</v>
      </c>
      <c r="B344" t="s">
        <v>867</v>
      </c>
    </row>
    <row r="345" spans="1:2" x14ac:dyDescent="0.2">
      <c r="A345" t="s">
        <v>854</v>
      </c>
      <c r="B345" t="s">
        <v>867</v>
      </c>
    </row>
    <row r="346" spans="1:2" x14ac:dyDescent="0.2">
      <c r="A346" t="s">
        <v>855</v>
      </c>
      <c r="B346" t="s">
        <v>867</v>
      </c>
    </row>
    <row r="347" spans="1:2" x14ac:dyDescent="0.2">
      <c r="A347" t="s">
        <v>856</v>
      </c>
      <c r="B347" t="s">
        <v>867</v>
      </c>
    </row>
    <row r="348" spans="1:2" x14ac:dyDescent="0.2">
      <c r="A348" t="s">
        <v>857</v>
      </c>
      <c r="B348" t="s">
        <v>867</v>
      </c>
    </row>
    <row r="349" spans="1:2" x14ac:dyDescent="0.2">
      <c r="A349" t="s">
        <v>858</v>
      </c>
      <c r="B349" t="s">
        <v>867</v>
      </c>
    </row>
    <row r="350" spans="1:2" x14ac:dyDescent="0.2">
      <c r="A350" t="s">
        <v>859</v>
      </c>
      <c r="B350" t="s">
        <v>867</v>
      </c>
    </row>
    <row r="351" spans="1:2" x14ac:dyDescent="0.2">
      <c r="A351" t="s">
        <v>860</v>
      </c>
      <c r="B351" t="s">
        <v>498</v>
      </c>
    </row>
    <row r="352" spans="1:2" x14ac:dyDescent="0.2">
      <c r="A352" t="s">
        <v>861</v>
      </c>
      <c r="B352" t="s">
        <v>867</v>
      </c>
    </row>
    <row r="353" spans="1:2" x14ac:dyDescent="0.2">
      <c r="A353" t="s">
        <v>862</v>
      </c>
      <c r="B353" t="s">
        <v>867</v>
      </c>
    </row>
    <row r="354" spans="1:2" x14ac:dyDescent="0.2">
      <c r="A354" t="s">
        <v>863</v>
      </c>
      <c r="B354" t="s">
        <v>867</v>
      </c>
    </row>
    <row r="355" spans="1:2" x14ac:dyDescent="0.2">
      <c r="A355" t="s">
        <v>864</v>
      </c>
      <c r="B355" t="s">
        <v>867</v>
      </c>
    </row>
    <row r="356" spans="1:2" x14ac:dyDescent="0.2">
      <c r="A356" t="s">
        <v>865</v>
      </c>
      <c r="B356">
        <v>0</v>
      </c>
    </row>
    <row r="357" spans="1:2" x14ac:dyDescent="0.2">
      <c r="A357" t="s">
        <v>866</v>
      </c>
      <c r="B35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646BF-59D7-584D-8210-DC6B75522FC1}">
  <dimension ref="A1:D3"/>
  <sheetViews>
    <sheetView topLeftCell="A3" workbookViewId="0">
      <selection activeCell="A3" sqref="A3"/>
    </sheetView>
  </sheetViews>
  <sheetFormatPr baseColWidth="10" defaultRowHeight="16" x14ac:dyDescent="0.2"/>
  <cols>
    <col min="1" max="1" width="51.83203125" customWidth="1"/>
    <col min="2" max="2" width="85.1640625" customWidth="1"/>
    <col min="3" max="3" width="88.83203125" customWidth="1"/>
    <col min="4" max="4" width="45" customWidth="1"/>
  </cols>
  <sheetData>
    <row r="1" spans="1:4" x14ac:dyDescent="0.2">
      <c r="A1" t="s">
        <v>228</v>
      </c>
      <c r="B1" t="s">
        <v>229</v>
      </c>
      <c r="C1" t="s">
        <v>230</v>
      </c>
    </row>
    <row r="2" spans="1:4" ht="136" customHeight="1" x14ac:dyDescent="0.2">
      <c r="A2" s="5" t="s">
        <v>92</v>
      </c>
      <c r="B2" s="6" t="s">
        <v>91</v>
      </c>
      <c r="C2" s="10" t="s">
        <v>198</v>
      </c>
      <c r="D2" s="11" t="s">
        <v>509</v>
      </c>
    </row>
    <row r="3" spans="1:4" ht="409.6" x14ac:dyDescent="0.2">
      <c r="A3" s="5" t="s">
        <v>298</v>
      </c>
      <c r="B3" s="3" t="s">
        <v>299</v>
      </c>
      <c r="C3" s="7" t="s">
        <v>300</v>
      </c>
      <c r="D3" s="2" t="s">
        <v>508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 choudhary</dc:creator>
  <cp:lastModifiedBy>ishan choudhary</cp:lastModifiedBy>
  <dcterms:created xsi:type="dcterms:W3CDTF">2025-05-14T05:30:06Z</dcterms:created>
  <dcterms:modified xsi:type="dcterms:W3CDTF">2025-05-20T12:42:32Z</dcterms:modified>
</cp:coreProperties>
</file>